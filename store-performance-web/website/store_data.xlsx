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Cipadung Empire\Desktop\store-performance-web\data\"/>
    </mc:Choice>
  </mc:AlternateContent>
  <xr:revisionPtr revIDLastSave="0" documentId="13_ncr:1_{67D49C2C-A71F-4DF9-8D91-E9D594FCC278}" xr6:coauthVersionLast="47" xr6:coauthVersionMax="47" xr10:uidLastSave="{00000000-0000-0000-0000-000000000000}"/>
  <bookViews>
    <workbookView xWindow="-120" yWindow="-120" windowWidth="20730" windowHeight="11040" xr2:uid="{00000000-000D-0000-FFFF-FFFF00000000}"/>
  </bookViews>
  <sheets>
    <sheet name="DATA" sheetId="1" r:id="rId1"/>
    <sheet name="QUESTION" sheetId="3" r:id="rId2"/>
    <sheet name="KPI&amp;PIVOT" sheetId="2" r:id="rId3"/>
    <sheet name="About Data" sheetId="5" r:id="rId4"/>
    <sheet name="DASHBOARD" sheetId="4" r:id="rId5"/>
    <sheet name="KPI Summary" sheetId="6" r:id="rId6"/>
    <sheet name="Contact Me" sheetId="7" r:id="rId7"/>
  </sheets>
  <definedNames>
    <definedName name="NativeTimeline_Date">#N/A</definedName>
    <definedName name="Slicer_Branch">#N/A</definedName>
    <definedName name="Slicer_City">#N/A</definedName>
    <definedName name="Slicer_Payment_Method">#N/A</definedName>
    <definedName name="Slicer_Product">#N/A</definedName>
  </definedNames>
  <calcPr calcId="18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 i="2" l="1"/>
</calcChain>
</file>

<file path=xl/sharedStrings.xml><?xml version="1.0" encoding="utf-8"?>
<sst xmlns="http://schemas.openxmlformats.org/spreadsheetml/2006/main" count="6070" uniqueCount="1082">
  <si>
    <t>Transaction_ID</t>
  </si>
  <si>
    <t>Date</t>
  </si>
  <si>
    <t>Customer_Name</t>
  </si>
  <si>
    <t>Product</t>
  </si>
  <si>
    <t>Quantity</t>
  </si>
  <si>
    <t>Price</t>
  </si>
  <si>
    <t>Total</t>
  </si>
  <si>
    <t>Payment_Method</t>
  </si>
  <si>
    <t>Branch</t>
  </si>
  <si>
    <t>City</t>
  </si>
  <si>
    <t>TRX-1000</t>
  </si>
  <si>
    <t>Citra</t>
  </si>
  <si>
    <t>Roti</t>
  </si>
  <si>
    <t>Debit</t>
  </si>
  <si>
    <t>Bandung</t>
  </si>
  <si>
    <t>TRX-1001</t>
  </si>
  <si>
    <t>Dewi</t>
  </si>
  <si>
    <t>Cash</t>
  </si>
  <si>
    <t>Yogyakarta</t>
  </si>
  <si>
    <t>TRX-1002</t>
  </si>
  <si>
    <t>Kopi</t>
  </si>
  <si>
    <t>Credit</t>
  </si>
  <si>
    <t>TRX-1003</t>
  </si>
  <si>
    <t>Budi</t>
  </si>
  <si>
    <t>Gula</t>
  </si>
  <si>
    <t>Medan</t>
  </si>
  <si>
    <t>TRX-1004</t>
  </si>
  <si>
    <t>Jakarta</t>
  </si>
  <si>
    <t>TRX-1005</t>
  </si>
  <si>
    <t>Kiki</t>
  </si>
  <si>
    <t>Sabun</t>
  </si>
  <si>
    <t>TRX-1006</t>
  </si>
  <si>
    <t>Andi</t>
  </si>
  <si>
    <t>Minyak Goreng</t>
  </si>
  <si>
    <t>TRX-1007</t>
  </si>
  <si>
    <t>Eka</t>
  </si>
  <si>
    <t>E-Wallet</t>
  </si>
  <si>
    <t>TRX-1008</t>
  </si>
  <si>
    <t>Beras</t>
  </si>
  <si>
    <t>TRX-1009</t>
  </si>
  <si>
    <t>TRX-1010</t>
  </si>
  <si>
    <t>TRX-1011</t>
  </si>
  <si>
    <t>Indra</t>
  </si>
  <si>
    <t>TRX-1012</t>
  </si>
  <si>
    <t>Teh</t>
  </si>
  <si>
    <t>TRX-1013</t>
  </si>
  <si>
    <t>TRX-1014</t>
  </si>
  <si>
    <t>TRX-1015</t>
  </si>
  <si>
    <t>Susu</t>
  </si>
  <si>
    <t>TRX-1016</t>
  </si>
  <si>
    <t>Indomie</t>
  </si>
  <si>
    <t>TRX-1017</t>
  </si>
  <si>
    <t>TRX-1018</t>
  </si>
  <si>
    <t>TRX-1019</t>
  </si>
  <si>
    <t>TRX-1020</t>
  </si>
  <si>
    <t>Hana</t>
  </si>
  <si>
    <t>TRX-1021</t>
  </si>
  <si>
    <t>TRX-1022</t>
  </si>
  <si>
    <t>TRX-1023</t>
  </si>
  <si>
    <t>TRX-1024</t>
  </si>
  <si>
    <t>Shampoo</t>
  </si>
  <si>
    <t>TRX-1025</t>
  </si>
  <si>
    <t>Surabaya</t>
  </si>
  <si>
    <t>TRX-1026</t>
  </si>
  <si>
    <t>TRX-1027</t>
  </si>
  <si>
    <t>TRX-1028</t>
  </si>
  <si>
    <t>Fajar</t>
  </si>
  <si>
    <t>TRX-1029</t>
  </si>
  <si>
    <t>Gilang</t>
  </si>
  <si>
    <t>TRX-1030</t>
  </si>
  <si>
    <t>TRX-1031</t>
  </si>
  <si>
    <t>TRX-1032</t>
  </si>
  <si>
    <t>TRX-1033</t>
  </si>
  <si>
    <t>TRX-1034</t>
  </si>
  <si>
    <t>TRX-1035</t>
  </si>
  <si>
    <t>Joko</t>
  </si>
  <si>
    <t>TRX-1036</t>
  </si>
  <si>
    <t>TRX-1037</t>
  </si>
  <si>
    <t>TRX-1038</t>
  </si>
  <si>
    <t>TRX-1039</t>
  </si>
  <si>
    <t>TRX-1040</t>
  </si>
  <si>
    <t>TRX-1041</t>
  </si>
  <si>
    <t>TRX-1042</t>
  </si>
  <si>
    <t>TRX-1043</t>
  </si>
  <si>
    <t>TRX-1044</t>
  </si>
  <si>
    <t>TRX-1045</t>
  </si>
  <si>
    <t>TRX-1046</t>
  </si>
  <si>
    <t>TRX-1047</t>
  </si>
  <si>
    <t>TRX-1048</t>
  </si>
  <si>
    <t>TRX-1049</t>
  </si>
  <si>
    <t>TRX-1050</t>
  </si>
  <si>
    <t>TRX-1051</t>
  </si>
  <si>
    <t>TRX-1052</t>
  </si>
  <si>
    <t>TRX-1053</t>
  </si>
  <si>
    <t>TRX-1054</t>
  </si>
  <si>
    <t>TRX-1055</t>
  </si>
  <si>
    <t>TRX-1056</t>
  </si>
  <si>
    <t>TRX-1057</t>
  </si>
  <si>
    <t>TRX-1058</t>
  </si>
  <si>
    <t>TRX-1059</t>
  </si>
  <si>
    <t>TRX-1060</t>
  </si>
  <si>
    <t>TRX-1061</t>
  </si>
  <si>
    <t>TRX-1062</t>
  </si>
  <si>
    <t>TRX-1063</t>
  </si>
  <si>
    <t>TRX-1064</t>
  </si>
  <si>
    <t>TRX-1065</t>
  </si>
  <si>
    <t>TRX-1066</t>
  </si>
  <si>
    <t>TRX-1067</t>
  </si>
  <si>
    <t>TRX-1068</t>
  </si>
  <si>
    <t>TRX-1069</t>
  </si>
  <si>
    <t>TRX-1070</t>
  </si>
  <si>
    <t>TRX-1071</t>
  </si>
  <si>
    <t>TRX-1072</t>
  </si>
  <si>
    <t>TRX-1073</t>
  </si>
  <si>
    <t>TRX-1074</t>
  </si>
  <si>
    <t>TRX-1075</t>
  </si>
  <si>
    <t>TRX-1076</t>
  </si>
  <si>
    <t>TRX-1077</t>
  </si>
  <si>
    <t>TRX-1078</t>
  </si>
  <si>
    <t>TRX-1079</t>
  </si>
  <si>
    <t>TRX-1080</t>
  </si>
  <si>
    <t>TRX-1081</t>
  </si>
  <si>
    <t>TRX-1082</t>
  </si>
  <si>
    <t>TRX-1083</t>
  </si>
  <si>
    <t>TRX-1084</t>
  </si>
  <si>
    <t>TRX-1085</t>
  </si>
  <si>
    <t>TRX-1086</t>
  </si>
  <si>
    <t>TRX-1087</t>
  </si>
  <si>
    <t>TRX-1088</t>
  </si>
  <si>
    <t>TRX-1089</t>
  </si>
  <si>
    <t>TRX-1090</t>
  </si>
  <si>
    <t>TRX-1091</t>
  </si>
  <si>
    <t>TRX-1092</t>
  </si>
  <si>
    <t>TRX-1093</t>
  </si>
  <si>
    <t>TRX-1094</t>
  </si>
  <si>
    <t>TRX-1095</t>
  </si>
  <si>
    <t>TRX-1096</t>
  </si>
  <si>
    <t>TRX-1097</t>
  </si>
  <si>
    <t>TRX-1098</t>
  </si>
  <si>
    <t>TRX-1099</t>
  </si>
  <si>
    <t>TRX-1100</t>
  </si>
  <si>
    <t>TRX-1101</t>
  </si>
  <si>
    <t>TRX-1102</t>
  </si>
  <si>
    <t>TRX-1103</t>
  </si>
  <si>
    <t>TRX-1104</t>
  </si>
  <si>
    <t>TRX-1105</t>
  </si>
  <si>
    <t>TRX-1106</t>
  </si>
  <si>
    <t>TRX-1107</t>
  </si>
  <si>
    <t>TRX-1108</t>
  </si>
  <si>
    <t>TRX-1109</t>
  </si>
  <si>
    <t>TRX-1110</t>
  </si>
  <si>
    <t>TRX-1111</t>
  </si>
  <si>
    <t>TRX-1112</t>
  </si>
  <si>
    <t>TRX-1113</t>
  </si>
  <si>
    <t>TRX-1114</t>
  </si>
  <si>
    <t>TRX-1115</t>
  </si>
  <si>
    <t>TRX-1116</t>
  </si>
  <si>
    <t>TRX-1117</t>
  </si>
  <si>
    <t>TRX-1118</t>
  </si>
  <si>
    <t>TRX-1119</t>
  </si>
  <si>
    <t>TRX-1120</t>
  </si>
  <si>
    <t>TRX-1121</t>
  </si>
  <si>
    <t>TRX-1122</t>
  </si>
  <si>
    <t>TRX-1123</t>
  </si>
  <si>
    <t>TRX-1124</t>
  </si>
  <si>
    <t>TRX-1125</t>
  </si>
  <si>
    <t>TRX-1126</t>
  </si>
  <si>
    <t>TRX-1127</t>
  </si>
  <si>
    <t>TRX-1128</t>
  </si>
  <si>
    <t>TRX-1129</t>
  </si>
  <si>
    <t>TRX-1130</t>
  </si>
  <si>
    <t>TRX-1131</t>
  </si>
  <si>
    <t>TRX-1132</t>
  </si>
  <si>
    <t>TRX-1133</t>
  </si>
  <si>
    <t>TRX-1134</t>
  </si>
  <si>
    <t>TRX-1135</t>
  </si>
  <si>
    <t>TRX-1136</t>
  </si>
  <si>
    <t>TRX-1137</t>
  </si>
  <si>
    <t>TRX-1138</t>
  </si>
  <si>
    <t>TRX-1139</t>
  </si>
  <si>
    <t>TRX-1140</t>
  </si>
  <si>
    <t>TRX-1141</t>
  </si>
  <si>
    <t>TRX-1142</t>
  </si>
  <si>
    <t>TRX-1143</t>
  </si>
  <si>
    <t>TRX-1144</t>
  </si>
  <si>
    <t>TRX-1145</t>
  </si>
  <si>
    <t>TRX-1146</t>
  </si>
  <si>
    <t>TRX-1147</t>
  </si>
  <si>
    <t>TRX-1148</t>
  </si>
  <si>
    <t>TRX-1149</t>
  </si>
  <si>
    <t>TRX-1150</t>
  </si>
  <si>
    <t>TRX-1151</t>
  </si>
  <si>
    <t>TRX-1152</t>
  </si>
  <si>
    <t>TRX-1153</t>
  </si>
  <si>
    <t>TRX-1154</t>
  </si>
  <si>
    <t>TRX-1155</t>
  </si>
  <si>
    <t>TRX-1156</t>
  </si>
  <si>
    <t>TRX-1157</t>
  </si>
  <si>
    <t>TRX-1158</t>
  </si>
  <si>
    <t>TRX-1159</t>
  </si>
  <si>
    <t>TRX-1160</t>
  </si>
  <si>
    <t>TRX-1161</t>
  </si>
  <si>
    <t>TRX-1162</t>
  </si>
  <si>
    <t>TRX-1163</t>
  </si>
  <si>
    <t>TRX-1164</t>
  </si>
  <si>
    <t>TRX-1165</t>
  </si>
  <si>
    <t>TRX-1167</t>
  </si>
  <si>
    <t>TRX-1168</t>
  </si>
  <si>
    <t>TRX-1169</t>
  </si>
  <si>
    <t>TRX-1170</t>
  </si>
  <si>
    <t>TRX-1171</t>
  </si>
  <si>
    <t>TRX-1172</t>
  </si>
  <si>
    <t>TRX-1173</t>
  </si>
  <si>
    <t>TRX-1174</t>
  </si>
  <si>
    <t>TRX-1175</t>
  </si>
  <si>
    <t>TRX-1176</t>
  </si>
  <si>
    <t>TRX-1177</t>
  </si>
  <si>
    <t>TRX-1178</t>
  </si>
  <si>
    <t>TRX-1179</t>
  </si>
  <si>
    <t>TRX-1180</t>
  </si>
  <si>
    <t>TRX-1181</t>
  </si>
  <si>
    <t>TRX-1182</t>
  </si>
  <si>
    <t>TRX-1183</t>
  </si>
  <si>
    <t>TRX-1184</t>
  </si>
  <si>
    <t>TRX-1185</t>
  </si>
  <si>
    <t>TRX-1186</t>
  </si>
  <si>
    <t>TRX-1187</t>
  </si>
  <si>
    <t>TRX-1189</t>
  </si>
  <si>
    <t>TRX-1190</t>
  </si>
  <si>
    <t>TRX-1191</t>
  </si>
  <si>
    <t>TRX-1192</t>
  </si>
  <si>
    <t>TRX-1193</t>
  </si>
  <si>
    <t>TRX-1194</t>
  </si>
  <si>
    <t>TRX-1195</t>
  </si>
  <si>
    <t>TRX-1196</t>
  </si>
  <si>
    <t>TRX-1197</t>
  </si>
  <si>
    <t>TRX-1198</t>
  </si>
  <si>
    <t>TRX-1199</t>
  </si>
  <si>
    <t>TRX-1200</t>
  </si>
  <si>
    <t>TRX-1201</t>
  </si>
  <si>
    <t>TRX-1202</t>
  </si>
  <si>
    <t>TRX-1203</t>
  </si>
  <si>
    <t>TRX-1204</t>
  </si>
  <si>
    <t>TRX-1205</t>
  </si>
  <si>
    <t>TRX-1206</t>
  </si>
  <si>
    <t>TRX-1207</t>
  </si>
  <si>
    <t>TRX-1208</t>
  </si>
  <si>
    <t>TRX-1209</t>
  </si>
  <si>
    <t>TRX-1210</t>
  </si>
  <si>
    <t>TRX-1211</t>
  </si>
  <si>
    <t>TRX-1212</t>
  </si>
  <si>
    <t>TRX-1213</t>
  </si>
  <si>
    <t>TRX-1214</t>
  </si>
  <si>
    <t>TRX-1215</t>
  </si>
  <si>
    <t>TRX-1216</t>
  </si>
  <si>
    <t>TRX-1217</t>
  </si>
  <si>
    <t>TRX-1218</t>
  </si>
  <si>
    <t>TRX-1219</t>
  </si>
  <si>
    <t>TRX-1220</t>
  </si>
  <si>
    <t>TRX-1221</t>
  </si>
  <si>
    <t>TRX-1222</t>
  </si>
  <si>
    <t>TRX-1223</t>
  </si>
  <si>
    <t>TRX-1224</t>
  </si>
  <si>
    <t>TRX-1225</t>
  </si>
  <si>
    <t>TRX-1226</t>
  </si>
  <si>
    <t>TRX-1227</t>
  </si>
  <si>
    <t>TRX-1228</t>
  </si>
  <si>
    <t>TRX-1229</t>
  </si>
  <si>
    <t>TRX-1230</t>
  </si>
  <si>
    <t>TRX-1231</t>
  </si>
  <si>
    <t>TRX-1232</t>
  </si>
  <si>
    <t>TRX-1233</t>
  </si>
  <si>
    <t>TRX-1234</t>
  </si>
  <si>
    <t>TRX-1235</t>
  </si>
  <si>
    <t>TRX-1236</t>
  </si>
  <si>
    <t>TRX-1237</t>
  </si>
  <si>
    <t>TRX-1238</t>
  </si>
  <si>
    <t>TRX-1239</t>
  </si>
  <si>
    <t>TRX-1240</t>
  </si>
  <si>
    <t>TRX-1241</t>
  </si>
  <si>
    <t>TRX-1242</t>
  </si>
  <si>
    <t>TRX-1243</t>
  </si>
  <si>
    <t>TRX-1244</t>
  </si>
  <si>
    <t>TRX-1245</t>
  </si>
  <si>
    <t>TRX-1246</t>
  </si>
  <si>
    <t>TRX-1247</t>
  </si>
  <si>
    <t>TRX-1248</t>
  </si>
  <si>
    <t>TRX-1249</t>
  </si>
  <si>
    <t>TRX-1250</t>
  </si>
  <si>
    <t>TRX-1251</t>
  </si>
  <si>
    <t>TRX-1252</t>
  </si>
  <si>
    <t>TRX-1253</t>
  </si>
  <si>
    <t>TRX-1254</t>
  </si>
  <si>
    <t>TRX-1255</t>
  </si>
  <si>
    <t>TRX-1256</t>
  </si>
  <si>
    <t>TRX-1257</t>
  </si>
  <si>
    <t>TRX-1258</t>
  </si>
  <si>
    <t>TRX-1259</t>
  </si>
  <si>
    <t>TRX-1260</t>
  </si>
  <si>
    <t>TRX-1261</t>
  </si>
  <si>
    <t>TRX-1262</t>
  </si>
  <si>
    <t>TRX-1263</t>
  </si>
  <si>
    <t>TRX-1264</t>
  </si>
  <si>
    <t>TRX-1265</t>
  </si>
  <si>
    <t>TRX-1266</t>
  </si>
  <si>
    <t>TRX-1267</t>
  </si>
  <si>
    <t>TRX-1269</t>
  </si>
  <si>
    <t>TRX-1270</t>
  </si>
  <si>
    <t>TRX-1271</t>
  </si>
  <si>
    <t>TRX-1272</t>
  </si>
  <si>
    <t>TRX-1273</t>
  </si>
  <si>
    <t>TRX-1274</t>
  </si>
  <si>
    <t>TRX-1275</t>
  </si>
  <si>
    <t>TRX-1276</t>
  </si>
  <si>
    <t>TRX-1277</t>
  </si>
  <si>
    <t>TRX-1278</t>
  </si>
  <si>
    <t>TRX-1279</t>
  </si>
  <si>
    <t>TRX-1280</t>
  </si>
  <si>
    <t>TRX-1281</t>
  </si>
  <si>
    <t>TRX-1282</t>
  </si>
  <si>
    <t>TRX-1283</t>
  </si>
  <si>
    <t>TRX-1284</t>
  </si>
  <si>
    <t>TRX-1285</t>
  </si>
  <si>
    <t>TRX-1286</t>
  </si>
  <si>
    <t>TRX-1287</t>
  </si>
  <si>
    <t>TRX-1288</t>
  </si>
  <si>
    <t>TRX-1289</t>
  </si>
  <si>
    <t>TRX-1290</t>
  </si>
  <si>
    <t>TRX-1291</t>
  </si>
  <si>
    <t>TRX-1292</t>
  </si>
  <si>
    <t>TRX-1293</t>
  </si>
  <si>
    <t>TRX-1294</t>
  </si>
  <si>
    <t>TRX-1295</t>
  </si>
  <si>
    <t>TRX-1296</t>
  </si>
  <si>
    <t>TRX-1297</t>
  </si>
  <si>
    <t>TRX-1298</t>
  </si>
  <si>
    <t>TRX-1299</t>
  </si>
  <si>
    <t>TRX-1300</t>
  </si>
  <si>
    <t>TRX-1301</t>
  </si>
  <si>
    <t>TRX-1302</t>
  </si>
  <si>
    <t>TRX-1303</t>
  </si>
  <si>
    <t>TRX-1304</t>
  </si>
  <si>
    <t>TRX-1305</t>
  </si>
  <si>
    <t>TRX-1306</t>
  </si>
  <si>
    <t>TRX-1307</t>
  </si>
  <si>
    <t>TRX-1308</t>
  </si>
  <si>
    <t>TRX-1309</t>
  </si>
  <si>
    <t>TRX-1310</t>
  </si>
  <si>
    <t>TRX-1311</t>
  </si>
  <si>
    <t>TRX-1312</t>
  </si>
  <si>
    <t>TRX-1313</t>
  </si>
  <si>
    <t>TRX-1314</t>
  </si>
  <si>
    <t>TRX-1315</t>
  </si>
  <si>
    <t>TRX-1316</t>
  </si>
  <si>
    <t>TRX-1317</t>
  </si>
  <si>
    <t>TRX-1318</t>
  </si>
  <si>
    <t>TRX-1319</t>
  </si>
  <si>
    <t>TRX-1320</t>
  </si>
  <si>
    <t>TRX-1321</t>
  </si>
  <si>
    <t>TRX-1322</t>
  </si>
  <si>
    <t>TRX-1323</t>
  </si>
  <si>
    <t>TRX-1324</t>
  </si>
  <si>
    <t>TRX-1325</t>
  </si>
  <si>
    <t>TRX-1326</t>
  </si>
  <si>
    <t>TRX-1327</t>
  </si>
  <si>
    <t>TRX-1328</t>
  </si>
  <si>
    <t>TRX-1329</t>
  </si>
  <si>
    <t>TRX-1330</t>
  </si>
  <si>
    <t>TRX-1331</t>
  </si>
  <si>
    <t>TRX-1332</t>
  </si>
  <si>
    <t>TRX-1333</t>
  </si>
  <si>
    <t>TRX-1334</t>
  </si>
  <si>
    <t>TRX-1335</t>
  </si>
  <si>
    <t>TRX-1336</t>
  </si>
  <si>
    <t>TRX-1337</t>
  </si>
  <si>
    <t>TRX-1338</t>
  </si>
  <si>
    <t>TRX-1339</t>
  </si>
  <si>
    <t>TRX-1340</t>
  </si>
  <si>
    <t>TRX-1341</t>
  </si>
  <si>
    <t>TRX-1342</t>
  </si>
  <si>
    <t>TRX-1343</t>
  </si>
  <si>
    <t>TRX-1344</t>
  </si>
  <si>
    <t>TRX-1345</t>
  </si>
  <si>
    <t>TRX-1346</t>
  </si>
  <si>
    <t>TRX-1347</t>
  </si>
  <si>
    <t>TRX-1348</t>
  </si>
  <si>
    <t>TRX-1349</t>
  </si>
  <si>
    <t>TRX-1350</t>
  </si>
  <si>
    <t>TRX-1351</t>
  </si>
  <si>
    <t>TRX-1352</t>
  </si>
  <si>
    <t>TRX-1353</t>
  </si>
  <si>
    <t>TRX-1354</t>
  </si>
  <si>
    <t>TRX-1355</t>
  </si>
  <si>
    <t>TRX-1356</t>
  </si>
  <si>
    <t>TRX-1357</t>
  </si>
  <si>
    <t>TRX-1358</t>
  </si>
  <si>
    <t>TRX-1359</t>
  </si>
  <si>
    <t>TRX-1360</t>
  </si>
  <si>
    <t>TRX-1361</t>
  </si>
  <si>
    <t>TRX-1362</t>
  </si>
  <si>
    <t>TRX-1363</t>
  </si>
  <si>
    <t>TRX-1364</t>
  </si>
  <si>
    <t>TRX-1365</t>
  </si>
  <si>
    <t>TRX-1366</t>
  </si>
  <si>
    <t>TRX-1367</t>
  </si>
  <si>
    <t>TRX-1368</t>
  </si>
  <si>
    <t>TRX-1369</t>
  </si>
  <si>
    <t>TRX-1370</t>
  </si>
  <si>
    <t>TRX-1371</t>
  </si>
  <si>
    <t>TRX-1372</t>
  </si>
  <si>
    <t>TRX-1373</t>
  </si>
  <si>
    <t>TRX-1374</t>
  </si>
  <si>
    <t>TRX-1375</t>
  </si>
  <si>
    <t>TRX-1376</t>
  </si>
  <si>
    <t>TRX-1377</t>
  </si>
  <si>
    <t>TRX-1378</t>
  </si>
  <si>
    <t>TRX-1379</t>
  </si>
  <si>
    <t>TRX-1380</t>
  </si>
  <si>
    <t>TRX-1381</t>
  </si>
  <si>
    <t>TRX-1382</t>
  </si>
  <si>
    <t>TRX-1383</t>
  </si>
  <si>
    <t>TRX-1384</t>
  </si>
  <si>
    <t>TRX-1385</t>
  </si>
  <si>
    <t>TRX-1386</t>
  </si>
  <si>
    <t>TRX-1387</t>
  </si>
  <si>
    <t>TRX-1388</t>
  </si>
  <si>
    <t>TRX-1389</t>
  </si>
  <si>
    <t>TRX-1390</t>
  </si>
  <si>
    <t>TRX-1391</t>
  </si>
  <si>
    <t>TRX-1392</t>
  </si>
  <si>
    <t>TRX-1393</t>
  </si>
  <si>
    <t>TRX-1394</t>
  </si>
  <si>
    <t>TRX-1395</t>
  </si>
  <si>
    <t>TRX-1397</t>
  </si>
  <si>
    <t>TRX-1398</t>
  </si>
  <si>
    <t>TRX-1399</t>
  </si>
  <si>
    <t>TRX-1400</t>
  </si>
  <si>
    <t>TRX-1401</t>
  </si>
  <si>
    <t>TRX-1402</t>
  </si>
  <si>
    <t>TRX-1403</t>
  </si>
  <si>
    <t>TRX-1404</t>
  </si>
  <si>
    <t>TRX-1405</t>
  </si>
  <si>
    <t>TRX-1406</t>
  </si>
  <si>
    <t>TRX-1407</t>
  </si>
  <si>
    <t>TRX-1408</t>
  </si>
  <si>
    <t>TRX-1409</t>
  </si>
  <si>
    <t>TRX-1410</t>
  </si>
  <si>
    <t>TRX-1411</t>
  </si>
  <si>
    <t>TRX-1412</t>
  </si>
  <si>
    <t>TRX-1413</t>
  </si>
  <si>
    <t>TRX-1414</t>
  </si>
  <si>
    <t>TRX-1415</t>
  </si>
  <si>
    <t>TRX-1416</t>
  </si>
  <si>
    <t>TRX-1417</t>
  </si>
  <si>
    <t>TRX-1418</t>
  </si>
  <si>
    <t>TRX-1419</t>
  </si>
  <si>
    <t>TRX-1420</t>
  </si>
  <si>
    <t>TRX-1421</t>
  </si>
  <si>
    <t>TRX-1422</t>
  </si>
  <si>
    <t>TRX-1423</t>
  </si>
  <si>
    <t>TRX-1424</t>
  </si>
  <si>
    <t>TRX-1425</t>
  </si>
  <si>
    <t>TRX-1426</t>
  </si>
  <si>
    <t>TRX-1427</t>
  </si>
  <si>
    <t>TRX-1428</t>
  </si>
  <si>
    <t>TRX-1429</t>
  </si>
  <si>
    <t>TRX-1430</t>
  </si>
  <si>
    <t>TRX-1431</t>
  </si>
  <si>
    <t>TRX-1432</t>
  </si>
  <si>
    <t>TRX-1433</t>
  </si>
  <si>
    <t>TRX-1434</t>
  </si>
  <si>
    <t>TRX-1435</t>
  </si>
  <si>
    <t>TRX-1436</t>
  </si>
  <si>
    <t>TRX-1437</t>
  </si>
  <si>
    <t>TRX-1438</t>
  </si>
  <si>
    <t>TRX-1439</t>
  </si>
  <si>
    <t>TRX-1440</t>
  </si>
  <si>
    <t>TRX-1441</t>
  </si>
  <si>
    <t>TRX-1442</t>
  </si>
  <si>
    <t>TRX-1443</t>
  </si>
  <si>
    <t>TRX-1444</t>
  </si>
  <si>
    <t>TRX-1445</t>
  </si>
  <si>
    <t>TRX-1446</t>
  </si>
  <si>
    <t>TRX-1447</t>
  </si>
  <si>
    <t>TRX-1448</t>
  </si>
  <si>
    <t>TRX-1449</t>
  </si>
  <si>
    <t>TRX-1450</t>
  </si>
  <si>
    <t>TRX-1451</t>
  </si>
  <si>
    <t>TRX-1452</t>
  </si>
  <si>
    <t>TRX-1453</t>
  </si>
  <si>
    <t>TRX-1454</t>
  </si>
  <si>
    <t>TRX-1455</t>
  </si>
  <si>
    <t>TRX-1456</t>
  </si>
  <si>
    <t>TRX-1458</t>
  </si>
  <si>
    <t>TRX-1459</t>
  </si>
  <si>
    <t>TRX-1460</t>
  </si>
  <si>
    <t>TRX-1461</t>
  </si>
  <si>
    <t>TRX-1462</t>
  </si>
  <si>
    <t>TRX-1463</t>
  </si>
  <si>
    <t>TRX-1464</t>
  </si>
  <si>
    <t>TRX-1465</t>
  </si>
  <si>
    <t>TRX-1466</t>
  </si>
  <si>
    <t>TRX-1467</t>
  </si>
  <si>
    <t>TRX-1468</t>
  </si>
  <si>
    <t>TRX-1469</t>
  </si>
  <si>
    <t>TRX-1470</t>
  </si>
  <si>
    <t>TRX-1471</t>
  </si>
  <si>
    <t>TRX-1472</t>
  </si>
  <si>
    <t>TRX-1473</t>
  </si>
  <si>
    <t>TRX-1474</t>
  </si>
  <si>
    <t>TRX-1475</t>
  </si>
  <si>
    <t>TRX-1476</t>
  </si>
  <si>
    <t>TRX-1477</t>
  </si>
  <si>
    <t>TRX-1478</t>
  </si>
  <si>
    <t>TRX-1479</t>
  </si>
  <si>
    <t>TRX-1480</t>
  </si>
  <si>
    <t>TRX-1481</t>
  </si>
  <si>
    <t>TRX-1482</t>
  </si>
  <si>
    <t>TRX-1483</t>
  </si>
  <si>
    <t>TRX-1484</t>
  </si>
  <si>
    <t>TRX-1485</t>
  </si>
  <si>
    <t>TRX-1486</t>
  </si>
  <si>
    <t>TRX-1487</t>
  </si>
  <si>
    <t>TRX-1488</t>
  </si>
  <si>
    <t>TRX-1489</t>
  </si>
  <si>
    <t>TRX-1490</t>
  </si>
  <si>
    <t>TRX-1491</t>
  </si>
  <si>
    <t>TRX-1492</t>
  </si>
  <si>
    <t>TRX-1493</t>
  </si>
  <si>
    <t>TRX-1494</t>
  </si>
  <si>
    <t>TRX-1495</t>
  </si>
  <si>
    <t>TRX-1496</t>
  </si>
  <si>
    <t>TRX-1497</t>
  </si>
  <si>
    <t>TRX-1498</t>
  </si>
  <si>
    <t>TRX-1499</t>
  </si>
  <si>
    <t>TRX-1500</t>
  </si>
  <si>
    <t>TRX-1501</t>
  </si>
  <si>
    <t>TRX-1502</t>
  </si>
  <si>
    <t>TRX-1503</t>
  </si>
  <si>
    <t>TRX-1505</t>
  </si>
  <si>
    <t>TRX-1506</t>
  </si>
  <si>
    <t>TRX-1507</t>
  </si>
  <si>
    <t>TRX-1508</t>
  </si>
  <si>
    <t>TRX-1509</t>
  </si>
  <si>
    <t>TRX-1510</t>
  </si>
  <si>
    <t>TRX-1511</t>
  </si>
  <si>
    <t>TRX-1512</t>
  </si>
  <si>
    <t>TRX-1513</t>
  </si>
  <si>
    <t>TRX-1514</t>
  </si>
  <si>
    <t>TRX-1515</t>
  </si>
  <si>
    <t>TRX-1516</t>
  </si>
  <si>
    <t>TRX-1517</t>
  </si>
  <si>
    <t>TRX-1518</t>
  </si>
  <si>
    <t>TRX-1519</t>
  </si>
  <si>
    <t>TRX-1520</t>
  </si>
  <si>
    <t>TRX-1522</t>
  </si>
  <si>
    <t>TRX-1523</t>
  </si>
  <si>
    <t>TRX-1524</t>
  </si>
  <si>
    <t>TRX-1525</t>
  </si>
  <si>
    <t>TRX-1526</t>
  </si>
  <si>
    <t>TRX-1527</t>
  </si>
  <si>
    <t>TRX-1528</t>
  </si>
  <si>
    <t>TRX-1529</t>
  </si>
  <si>
    <t>TRX-1530</t>
  </si>
  <si>
    <t>TRX-1531</t>
  </si>
  <si>
    <t>TRX-1532</t>
  </si>
  <si>
    <t>TRX-1533</t>
  </si>
  <si>
    <t>TRX-1534</t>
  </si>
  <si>
    <t>TRX-1535</t>
  </si>
  <si>
    <t>TRX-1536</t>
  </si>
  <si>
    <t>TRX-1537</t>
  </si>
  <si>
    <t>TRX-1538</t>
  </si>
  <si>
    <t>TRX-1539</t>
  </si>
  <si>
    <t>TRX-1540</t>
  </si>
  <si>
    <t>TRX-1541</t>
  </si>
  <si>
    <t>TRX-1542</t>
  </si>
  <si>
    <t>TRX-1543</t>
  </si>
  <si>
    <t>TRX-1544</t>
  </si>
  <si>
    <t>TRX-1545</t>
  </si>
  <si>
    <t>TRX-1546</t>
  </si>
  <si>
    <t>TRX-1547</t>
  </si>
  <si>
    <t>TRX-1548</t>
  </si>
  <si>
    <t>TRX-1549</t>
  </si>
  <si>
    <t>TRX-1551</t>
  </si>
  <si>
    <t>TRX-1552</t>
  </si>
  <si>
    <t>TRX-1553</t>
  </si>
  <si>
    <t>TRX-1554</t>
  </si>
  <si>
    <t>TRX-1555</t>
  </si>
  <si>
    <t>TRX-1556</t>
  </si>
  <si>
    <t>TRX-1557</t>
  </si>
  <si>
    <t>TRX-1558</t>
  </si>
  <si>
    <t>TRX-1559</t>
  </si>
  <si>
    <t>TRX-1560</t>
  </si>
  <si>
    <t>TRX-1561</t>
  </si>
  <si>
    <t>TRX-1562</t>
  </si>
  <si>
    <t>TRX-1563</t>
  </si>
  <si>
    <t>TRX-1564</t>
  </si>
  <si>
    <t>TRX-1565</t>
  </si>
  <si>
    <t>TRX-1566</t>
  </si>
  <si>
    <t>TRX-1567</t>
  </si>
  <si>
    <t>TRX-1568</t>
  </si>
  <si>
    <t>TRX-1569</t>
  </si>
  <si>
    <t>TRX-1570</t>
  </si>
  <si>
    <t>TRX-1571</t>
  </si>
  <si>
    <t>TRX-1572</t>
  </si>
  <si>
    <t>TRX-1573</t>
  </si>
  <si>
    <t>TRX-1574</t>
  </si>
  <si>
    <t>TRX-1575</t>
  </si>
  <si>
    <t>TRX-1576</t>
  </si>
  <si>
    <t>TRX-1577</t>
  </si>
  <si>
    <t>TRX-1578</t>
  </si>
  <si>
    <t>TRX-1579</t>
  </si>
  <si>
    <t>TRX-1580</t>
  </si>
  <si>
    <t>TRX-1581</t>
  </si>
  <si>
    <t>TRX-1582</t>
  </si>
  <si>
    <t>TRX-1583</t>
  </si>
  <si>
    <t>TRX-1584</t>
  </si>
  <si>
    <t>TRX-1585</t>
  </si>
  <si>
    <t>TRX-1586</t>
  </si>
  <si>
    <t>TRX-1587</t>
  </si>
  <si>
    <t>TRX-1588</t>
  </si>
  <si>
    <t>TRX-1589</t>
  </si>
  <si>
    <t>TRX-1590</t>
  </si>
  <si>
    <t>TRX-1591</t>
  </si>
  <si>
    <t>TRX-1592</t>
  </si>
  <si>
    <t>TRX-1593</t>
  </si>
  <si>
    <t>TRX-1594</t>
  </si>
  <si>
    <t>TRX-1595</t>
  </si>
  <si>
    <t>TRX-1596</t>
  </si>
  <si>
    <t>TRX-1597</t>
  </si>
  <si>
    <t>TRX-1598</t>
  </si>
  <si>
    <t>TRX-1599</t>
  </si>
  <si>
    <t>TRX-1600</t>
  </si>
  <si>
    <t>TRX-1601</t>
  </si>
  <si>
    <t>TRX-1602</t>
  </si>
  <si>
    <t>TRX-1603</t>
  </si>
  <si>
    <t>TRX-1604</t>
  </si>
  <si>
    <t>TRX-1605</t>
  </si>
  <si>
    <t>TRX-1606</t>
  </si>
  <si>
    <t>TRX-1607</t>
  </si>
  <si>
    <t>TRX-1608</t>
  </si>
  <si>
    <t>TRX-1609</t>
  </si>
  <si>
    <t>TRX-1610</t>
  </si>
  <si>
    <t>TRX-1611</t>
  </si>
  <si>
    <t>TRX-1612</t>
  </si>
  <si>
    <t>TRX-1613</t>
  </si>
  <si>
    <t>TRX-1614</t>
  </si>
  <si>
    <t>TRX-1615</t>
  </si>
  <si>
    <t>TRX-1616</t>
  </si>
  <si>
    <t>TRX-1617</t>
  </si>
  <si>
    <t>TRX-1618</t>
  </si>
  <si>
    <t>TRX-1619</t>
  </si>
  <si>
    <t>TRX-1620</t>
  </si>
  <si>
    <t>TRX-1621</t>
  </si>
  <si>
    <t>TRX-1622</t>
  </si>
  <si>
    <t>TRX-1623</t>
  </si>
  <si>
    <t>TRX-1624</t>
  </si>
  <si>
    <t>TRX-1625</t>
  </si>
  <si>
    <t>TRX-1626</t>
  </si>
  <si>
    <t>TRX-1627</t>
  </si>
  <si>
    <t>TRX-1628</t>
  </si>
  <si>
    <t>TRX-1629</t>
  </si>
  <si>
    <t>TRX-1630</t>
  </si>
  <si>
    <t>TRX-1631</t>
  </si>
  <si>
    <t>TRX-1632</t>
  </si>
  <si>
    <t>TRX-1633</t>
  </si>
  <si>
    <t>TRX-1634</t>
  </si>
  <si>
    <t>TRX-1635</t>
  </si>
  <si>
    <t>TRX-1636</t>
  </si>
  <si>
    <t>TRX-1637</t>
  </si>
  <si>
    <t>TRX-1638</t>
  </si>
  <si>
    <t>TRX-1639</t>
  </si>
  <si>
    <t>TRX-1640</t>
  </si>
  <si>
    <t>TRX-1641</t>
  </si>
  <si>
    <t>TRX-1642</t>
  </si>
  <si>
    <t>TRX-1643</t>
  </si>
  <si>
    <t>TRX-1644</t>
  </si>
  <si>
    <t>TRX-1645</t>
  </si>
  <si>
    <t>TRX-1646</t>
  </si>
  <si>
    <t>TRX-1647</t>
  </si>
  <si>
    <t>TRX-1648</t>
  </si>
  <si>
    <t>TRX-1649</t>
  </si>
  <si>
    <t>TRX-1650</t>
  </si>
  <si>
    <t>TRX-1651</t>
  </si>
  <si>
    <t>TRX-1652</t>
  </si>
  <si>
    <t>TRX-1653</t>
  </si>
  <si>
    <t>TRX-1654</t>
  </si>
  <si>
    <t>TRX-1655</t>
  </si>
  <si>
    <t>TRX-1656</t>
  </si>
  <si>
    <t>TRX-1657</t>
  </si>
  <si>
    <t>TRX-1658</t>
  </si>
  <si>
    <t>TRX-1659</t>
  </si>
  <si>
    <t>TRX-1660</t>
  </si>
  <si>
    <t>TRX-1661</t>
  </si>
  <si>
    <t>TRX-1662</t>
  </si>
  <si>
    <t>TRX-1663</t>
  </si>
  <si>
    <t>TRX-1664</t>
  </si>
  <si>
    <t>TRX-1665</t>
  </si>
  <si>
    <t>TRX-1666</t>
  </si>
  <si>
    <t>TRX-1667</t>
  </si>
  <si>
    <t>TRX-1668</t>
  </si>
  <si>
    <t>TRX-1669</t>
  </si>
  <si>
    <t>TRX-1670</t>
  </si>
  <si>
    <t>TRX-1671</t>
  </si>
  <si>
    <t>TRX-1672</t>
  </si>
  <si>
    <t>TRX-1673</t>
  </si>
  <si>
    <t>TRX-1674</t>
  </si>
  <si>
    <t>TRX-1675</t>
  </si>
  <si>
    <t>TRX-1676</t>
  </si>
  <si>
    <t>TRX-1677</t>
  </si>
  <si>
    <t>TRX-1678</t>
  </si>
  <si>
    <t>TRX-1679</t>
  </si>
  <si>
    <t>TRX-1680</t>
  </si>
  <si>
    <t>TRX-1681</t>
  </si>
  <si>
    <t>TRX-1682</t>
  </si>
  <si>
    <t>TRX-1683</t>
  </si>
  <si>
    <t>TRX-1684</t>
  </si>
  <si>
    <t>TRX-1685</t>
  </si>
  <si>
    <t>TRX-1686</t>
  </si>
  <si>
    <t>TRX-1687</t>
  </si>
  <si>
    <t>TRX-1688</t>
  </si>
  <si>
    <t>TRX-1689</t>
  </si>
  <si>
    <t>TRX-1690</t>
  </si>
  <si>
    <t>TRX-1691</t>
  </si>
  <si>
    <t>TRX-1692</t>
  </si>
  <si>
    <t>TRX-1693</t>
  </si>
  <si>
    <t>TRX-1694</t>
  </si>
  <si>
    <t>TRX-1695</t>
  </si>
  <si>
    <t>TRX-1696</t>
  </si>
  <si>
    <t>TRX-1697</t>
  </si>
  <si>
    <t>TRX-1698</t>
  </si>
  <si>
    <t>TRX-1699</t>
  </si>
  <si>
    <t>TRX-1700</t>
  </si>
  <si>
    <t>TRX-1701</t>
  </si>
  <si>
    <t>TRX-1702</t>
  </si>
  <si>
    <t>TRX-1703</t>
  </si>
  <si>
    <t>TRX-1704</t>
  </si>
  <si>
    <t>TRX-1705</t>
  </si>
  <si>
    <t>TRX-1706</t>
  </si>
  <si>
    <t>TRX-1707</t>
  </si>
  <si>
    <t>TRX-1708</t>
  </si>
  <si>
    <t>TRX-1709</t>
  </si>
  <si>
    <t>TRX-1710</t>
  </si>
  <si>
    <t>TRX-1711</t>
  </si>
  <si>
    <t>TRX-1712</t>
  </si>
  <si>
    <t>TRX-1713</t>
  </si>
  <si>
    <t>TRX-1714</t>
  </si>
  <si>
    <t>TRX-1715</t>
  </si>
  <si>
    <t>TRX-1716</t>
  </si>
  <si>
    <t>TRX-1717</t>
  </si>
  <si>
    <t>TRX-1718</t>
  </si>
  <si>
    <t>TRX-1719</t>
  </si>
  <si>
    <t>TRX-1720</t>
  </si>
  <si>
    <t>TRX-1721</t>
  </si>
  <si>
    <t>TRX-1722</t>
  </si>
  <si>
    <t>TRX-1723</t>
  </si>
  <si>
    <t>TRX-1724</t>
  </si>
  <si>
    <t>TRX-1725</t>
  </si>
  <si>
    <t>TRX-1726</t>
  </si>
  <si>
    <t>TRX-1727</t>
  </si>
  <si>
    <t>TRX-1728</t>
  </si>
  <si>
    <t>TRX-1729</t>
  </si>
  <si>
    <t>TRX-1730</t>
  </si>
  <si>
    <t>TRX-1731</t>
  </si>
  <si>
    <t>TRX-1732</t>
  </si>
  <si>
    <t>TRX-1733</t>
  </si>
  <si>
    <t>TRX-1734</t>
  </si>
  <si>
    <t>TRX-1735</t>
  </si>
  <si>
    <t>TRX-1736</t>
  </si>
  <si>
    <t>TRX-1737</t>
  </si>
  <si>
    <t>TRX-1738</t>
  </si>
  <si>
    <t>TRX-1739</t>
  </si>
  <si>
    <t>TRX-1740</t>
  </si>
  <si>
    <t>TRX-1741</t>
  </si>
  <si>
    <t>TRX-1742</t>
  </si>
  <si>
    <t>TRX-1743</t>
  </si>
  <si>
    <t>TRX-1744</t>
  </si>
  <si>
    <t>TRX-1745</t>
  </si>
  <si>
    <t>TRX-1746</t>
  </si>
  <si>
    <t>TRX-1747</t>
  </si>
  <si>
    <t>TRX-1748</t>
  </si>
  <si>
    <t>TRX-1749</t>
  </si>
  <si>
    <t>TRX-1750</t>
  </si>
  <si>
    <t>TRX-1751</t>
  </si>
  <si>
    <t>TRX-1752</t>
  </si>
  <si>
    <t>TRX-1753</t>
  </si>
  <si>
    <t>TRX-1754</t>
  </si>
  <si>
    <t>TRX-1755</t>
  </si>
  <si>
    <t>TRX-1756</t>
  </si>
  <si>
    <t>TRX-1757</t>
  </si>
  <si>
    <t>TRX-1758</t>
  </si>
  <si>
    <t>TRX-1759</t>
  </si>
  <si>
    <t>TRX-1760</t>
  </si>
  <si>
    <t>TRX-1761</t>
  </si>
  <si>
    <t>TRX-1762</t>
  </si>
  <si>
    <t>TRX-1763</t>
  </si>
  <si>
    <t>TRX-1764</t>
  </si>
  <si>
    <t>TRX-1765</t>
  </si>
  <si>
    <t>TRX-1766</t>
  </si>
  <si>
    <t>TRX-1767</t>
  </si>
  <si>
    <t>TRX-1768</t>
  </si>
  <si>
    <t>TRX-1769</t>
  </si>
  <si>
    <t>TRX-1770</t>
  </si>
  <si>
    <t>TRX-1772</t>
  </si>
  <si>
    <t>TRX-1773</t>
  </si>
  <si>
    <t>TRX-1774</t>
  </si>
  <si>
    <t>TRX-1775</t>
  </si>
  <si>
    <t>TRX-1776</t>
  </si>
  <si>
    <t>TRX-1777</t>
  </si>
  <si>
    <t>TRX-1778</t>
  </si>
  <si>
    <t>TRX-1779</t>
  </si>
  <si>
    <t>TRX-1780</t>
  </si>
  <si>
    <t>TRX-1781</t>
  </si>
  <si>
    <t>TRX-1782</t>
  </si>
  <si>
    <t>TRX-1783</t>
  </si>
  <si>
    <t>TRX-1784</t>
  </si>
  <si>
    <t>TRX-1785</t>
  </si>
  <si>
    <t>TRX-1786</t>
  </si>
  <si>
    <t>TRX-1787</t>
  </si>
  <si>
    <t>TRX-1788</t>
  </si>
  <si>
    <t>TRX-1790</t>
  </si>
  <si>
    <t>TRX-1791</t>
  </si>
  <si>
    <t>TRX-1792</t>
  </si>
  <si>
    <t>TRX-1793</t>
  </si>
  <si>
    <t>TRX-1794</t>
  </si>
  <si>
    <t>TRX-1795</t>
  </si>
  <si>
    <t>TRX-1796</t>
  </si>
  <si>
    <t>TRX-1798</t>
  </si>
  <si>
    <t>TRX-1799</t>
  </si>
  <si>
    <t>TRX-1800</t>
  </si>
  <si>
    <t>TRX-1801</t>
  </si>
  <si>
    <t>TRX-1802</t>
  </si>
  <si>
    <t>TRX-1803</t>
  </si>
  <si>
    <t>TRX-1804</t>
  </si>
  <si>
    <t>TRX-1805</t>
  </si>
  <si>
    <t>TRX-1806</t>
  </si>
  <si>
    <t>TRX-1807</t>
  </si>
  <si>
    <t>TRX-1808</t>
  </si>
  <si>
    <t>TRX-1809</t>
  </si>
  <si>
    <t>TRX-1810</t>
  </si>
  <si>
    <t>TRX-1811</t>
  </si>
  <si>
    <t>TRX-1812</t>
  </si>
  <si>
    <t>TRX-1813</t>
  </si>
  <si>
    <t>TRX-1814</t>
  </si>
  <si>
    <t>TRX-1815</t>
  </si>
  <si>
    <t>TRX-1816</t>
  </si>
  <si>
    <t>TRX-1818</t>
  </si>
  <si>
    <t>TRX-1819</t>
  </si>
  <si>
    <t>TRX-1820</t>
  </si>
  <si>
    <t>TRX-1821</t>
  </si>
  <si>
    <t>TRX-1822</t>
  </si>
  <si>
    <t>TRX-1823</t>
  </si>
  <si>
    <t>TRX-1824</t>
  </si>
  <si>
    <t>TRX-1825</t>
  </si>
  <si>
    <t>TRX-1826</t>
  </si>
  <si>
    <t>TRX-1827</t>
  </si>
  <si>
    <t>TRX-1828</t>
  </si>
  <si>
    <t>TRX-1829</t>
  </si>
  <si>
    <t>TRX-1830</t>
  </si>
  <si>
    <t>TRX-1831</t>
  </si>
  <si>
    <t>TRX-1832</t>
  </si>
  <si>
    <t>TRX-1833</t>
  </si>
  <si>
    <t>TRX-1834</t>
  </si>
  <si>
    <t>TRX-1835</t>
  </si>
  <si>
    <t>TRX-1836</t>
  </si>
  <si>
    <t>TRX-1837</t>
  </si>
  <si>
    <t>TRX-1838</t>
  </si>
  <si>
    <t>TRX-1839</t>
  </si>
  <si>
    <t>TRX-1840</t>
  </si>
  <si>
    <t>TRX-1841</t>
  </si>
  <si>
    <t>TRX-1842</t>
  </si>
  <si>
    <t>TRX-1843</t>
  </si>
  <si>
    <t>TRX-1844</t>
  </si>
  <si>
    <t>TRX-1845</t>
  </si>
  <si>
    <t>TRX-1846</t>
  </si>
  <si>
    <t>TRX-1847</t>
  </si>
  <si>
    <t>TRX-1848</t>
  </si>
  <si>
    <t>TRX-1849</t>
  </si>
  <si>
    <t>TRX-1850</t>
  </si>
  <si>
    <t>TRX-1851</t>
  </si>
  <si>
    <t>TRX-1852</t>
  </si>
  <si>
    <t>TRX-1853</t>
  </si>
  <si>
    <t>TRX-1854</t>
  </si>
  <si>
    <t>TRX-1855</t>
  </si>
  <si>
    <t>TRX-1856</t>
  </si>
  <si>
    <t>TRX-1857</t>
  </si>
  <si>
    <t>TRX-1858</t>
  </si>
  <si>
    <t>TRX-1859</t>
  </si>
  <si>
    <t>TRX-1860</t>
  </si>
  <si>
    <t>TRX-1861</t>
  </si>
  <si>
    <t>TRX-1862</t>
  </si>
  <si>
    <t>TRX-1863</t>
  </si>
  <si>
    <t>TRX-1864</t>
  </si>
  <si>
    <t>TRX-1865</t>
  </si>
  <si>
    <t>TRX-1866</t>
  </si>
  <si>
    <t>TRX-1867</t>
  </si>
  <si>
    <t>TRX-1868</t>
  </si>
  <si>
    <t>TRX-1869</t>
  </si>
  <si>
    <t>TRX-1870</t>
  </si>
  <si>
    <t>TRX-1871</t>
  </si>
  <si>
    <t>TRX-1872</t>
  </si>
  <si>
    <t>TRX-1873</t>
  </si>
  <si>
    <t>TRX-1874</t>
  </si>
  <si>
    <t>TRX-1875</t>
  </si>
  <si>
    <t>TRX-1876</t>
  </si>
  <si>
    <t>TRX-1877</t>
  </si>
  <si>
    <t>TRX-1878</t>
  </si>
  <si>
    <t>TRX-1879</t>
  </si>
  <si>
    <t>TRX-1880</t>
  </si>
  <si>
    <t>TRX-1881</t>
  </si>
  <si>
    <t>TRX-1882</t>
  </si>
  <si>
    <t>TRX-1883</t>
  </si>
  <si>
    <t>TRX-1884</t>
  </si>
  <si>
    <t>TRX-1885</t>
  </si>
  <si>
    <t>TRX-1886</t>
  </si>
  <si>
    <t>TRX-1887</t>
  </si>
  <si>
    <t>TRX-1888</t>
  </si>
  <si>
    <t>TRX-1889</t>
  </si>
  <si>
    <t>TRX-1890</t>
  </si>
  <si>
    <t>TRX-1891</t>
  </si>
  <si>
    <t>TRX-1892</t>
  </si>
  <si>
    <t>TRX-1893</t>
  </si>
  <si>
    <t>TRX-1894</t>
  </si>
  <si>
    <t>TRX-1895</t>
  </si>
  <si>
    <t>TRX-1896</t>
  </si>
  <si>
    <t>TRX-1897</t>
  </si>
  <si>
    <t>TRX-1898</t>
  </si>
  <si>
    <t>TRX-1899</t>
  </si>
  <si>
    <t>TRX-1900</t>
  </si>
  <si>
    <t>TRX-1901</t>
  </si>
  <si>
    <t>TRX-1902</t>
  </si>
  <si>
    <t>TRX-1903</t>
  </si>
  <si>
    <t>TRX-1904</t>
  </si>
  <si>
    <t>TRX-1905</t>
  </si>
  <si>
    <t>TRX-1906</t>
  </si>
  <si>
    <t>TRX-1907</t>
  </si>
  <si>
    <t>TRX-1908</t>
  </si>
  <si>
    <t>TRX-1909</t>
  </si>
  <si>
    <t>TRX-1910</t>
  </si>
  <si>
    <t>TRX-1911</t>
  </si>
  <si>
    <t>TRX-1912</t>
  </si>
  <si>
    <t>TRX-1913</t>
  </si>
  <si>
    <t>TRX-1914</t>
  </si>
  <si>
    <t>TRX-1915</t>
  </si>
  <si>
    <t>TRX-1916</t>
  </si>
  <si>
    <t>TRX-1917</t>
  </si>
  <si>
    <t>TRX-1918</t>
  </si>
  <si>
    <t>TRX-1919</t>
  </si>
  <si>
    <t>TRX-1920</t>
  </si>
  <si>
    <t>TRX-1921</t>
  </si>
  <si>
    <t>TRX-1922</t>
  </si>
  <si>
    <t>TRX-1923</t>
  </si>
  <si>
    <t>TRX-1924</t>
  </si>
  <si>
    <t>TRX-1925</t>
  </si>
  <si>
    <t>TRX-1926</t>
  </si>
  <si>
    <t>TRX-1927</t>
  </si>
  <si>
    <t>TRX-1928</t>
  </si>
  <si>
    <t>TRX-1929</t>
  </si>
  <si>
    <t>TRX-1930</t>
  </si>
  <si>
    <t>TRX-1931</t>
  </si>
  <si>
    <t>TRX-1932</t>
  </si>
  <si>
    <t>TRX-1933</t>
  </si>
  <si>
    <t>TRX-1934</t>
  </si>
  <si>
    <t>TRX-1935</t>
  </si>
  <si>
    <t>TRX-1936</t>
  </si>
  <si>
    <t>TRX-1937</t>
  </si>
  <si>
    <t>TRX-1938</t>
  </si>
  <si>
    <t>TRX-1939</t>
  </si>
  <si>
    <t>TRX-1940</t>
  </si>
  <si>
    <t>TRX-1941</t>
  </si>
  <si>
    <t>TRX-1942</t>
  </si>
  <si>
    <t>TRX-1943</t>
  </si>
  <si>
    <t>TRX-1944</t>
  </si>
  <si>
    <t>TRX-1945</t>
  </si>
  <si>
    <t>TRX-1946</t>
  </si>
  <si>
    <t>TRX-1947</t>
  </si>
  <si>
    <t>TRX-1948</t>
  </si>
  <si>
    <t>TRX-1949</t>
  </si>
  <si>
    <t>TRX-1950</t>
  </si>
  <si>
    <t>TRX-1951</t>
  </si>
  <si>
    <t>TRX-1952</t>
  </si>
  <si>
    <t>TRX-1953</t>
  </si>
  <si>
    <t>TRX-1954</t>
  </si>
  <si>
    <t>TRX-1955</t>
  </si>
  <si>
    <t>TRX-1956</t>
  </si>
  <si>
    <t>TRX-1957</t>
  </si>
  <si>
    <t>TRX-1958</t>
  </si>
  <si>
    <t>TRX-1959</t>
  </si>
  <si>
    <t>TRX-1960</t>
  </si>
  <si>
    <t>TRX-1961</t>
  </si>
  <si>
    <t>TRX-1962</t>
  </si>
  <si>
    <t>TRX-1963</t>
  </si>
  <si>
    <t>TRX-1964</t>
  </si>
  <si>
    <t>TRX-1966</t>
  </si>
  <si>
    <t>TRX-1967</t>
  </si>
  <si>
    <t>TRX-1968</t>
  </si>
  <si>
    <t>TRX-1969</t>
  </si>
  <si>
    <t>TRX-1970</t>
  </si>
  <si>
    <t>TRX-1971</t>
  </si>
  <si>
    <t>TRX-1973</t>
  </si>
  <si>
    <t>TRX-1974</t>
  </si>
  <si>
    <t>TRX-1975</t>
  </si>
  <si>
    <t>TRX-1976</t>
  </si>
  <si>
    <t>TRX-1977</t>
  </si>
  <si>
    <t>TRX-1978</t>
  </si>
  <si>
    <t>TRX-1979</t>
  </si>
  <si>
    <t>TRX-1980</t>
  </si>
  <si>
    <t>TRX-1981</t>
  </si>
  <si>
    <t>TRX-1982</t>
  </si>
  <si>
    <t>TRX-1983</t>
  </si>
  <si>
    <t>TRX-1984</t>
  </si>
  <si>
    <t>TRX-1985</t>
  </si>
  <si>
    <t>TRX-1986</t>
  </si>
  <si>
    <t>TRX-1987</t>
  </si>
  <si>
    <t>TRX-1988</t>
  </si>
  <si>
    <t>TRX-1989</t>
  </si>
  <si>
    <t>TRX-1990</t>
  </si>
  <si>
    <t>TRX-1991</t>
  </si>
  <si>
    <t>TRX-1992</t>
  </si>
  <si>
    <t>TRX-1993</t>
  </si>
  <si>
    <t>TRX-1994</t>
  </si>
  <si>
    <t>TRX-1995</t>
  </si>
  <si>
    <t>TRX-1996</t>
  </si>
  <si>
    <t>TRX-1997</t>
  </si>
  <si>
    <t>TRX-1998</t>
  </si>
  <si>
    <t>TRX-1999</t>
  </si>
  <si>
    <t>KPI</t>
  </si>
  <si>
    <t>Sum of Total</t>
  </si>
  <si>
    <t>TOTAL REVENUE</t>
  </si>
  <si>
    <t>TOTAL TRANSAKSI</t>
  </si>
  <si>
    <t>AVERAGE ORDER VALUE</t>
  </si>
  <si>
    <t>Sum of Quantity</t>
  </si>
  <si>
    <t>AVG QTY</t>
  </si>
  <si>
    <t>PIVOT</t>
  </si>
  <si>
    <t>Row Labels</t>
  </si>
  <si>
    <t>Grand Total</t>
  </si>
  <si>
    <t>Jan</t>
  </si>
  <si>
    <t>Feb</t>
  </si>
  <si>
    <t>Mar</t>
  </si>
  <si>
    <t>Apr</t>
  </si>
  <si>
    <t>May</t>
  </si>
  <si>
    <t>Jun</t>
  </si>
  <si>
    <t>Jul</t>
  </si>
  <si>
    <t>Aug</t>
  </si>
  <si>
    <t>Sep</t>
  </si>
  <si>
    <t>Oct</t>
  </si>
  <si>
    <t>Nov</t>
  </si>
  <si>
    <t>Dec</t>
  </si>
  <si>
    <t>Column Labels</t>
  </si>
  <si>
    <t>Other</t>
  </si>
  <si>
    <t>Performance Umum</t>
  </si>
  <si>
    <t>Bagaimana performa toko secara keseluruhan tahun 2023–2024?</t>
  </si>
  <si>
    <t>Apakah revenue meningkat atau menurun di tahun terakhir?</t>
  </si>
  <si>
    <t>Revenue Trend</t>
  </si>
  <si>
    <t>Bulan apa dengan penjualan tertinggi dan terendah? Kenapa bisa begitu?</t>
  </si>
  <si>
    <t>Ada tren musiman nggak (misal naik di bulan Ramadan atau akhir tahun)?</t>
  </si>
  <si>
    <t>Kategori Produk</t>
  </si>
  <si>
    <t>Produk atau kategori mana yang paling menghasilkan revenue?</t>
  </si>
  <si>
    <t>Ada kategori yang performanya terus naik/turun?</t>
  </si>
  <si>
    <t>Cabang</t>
  </si>
  <si>
    <t>Kota mana yang performanya paling bagus?</t>
  </si>
  <si>
    <t>Apakah ada cabang yang perlu diperhatikan karena penjualannya rendah?</t>
  </si>
  <si>
    <t>Payment Method</t>
  </si>
  <si>
    <t>Metode pembayaran apa yang paling sering dipakai pelanggan?</t>
  </si>
  <si>
    <t>Ada perubahan preferensi pembayaran antar tahun?</t>
  </si>
  <si>
    <t>Dari semua data, apa insight utama yang bisa diambil?</t>
  </si>
  <si>
    <t>Kalau kamu jadi manajer toko, keputusan apa yang bakal kamu ambil?</t>
  </si>
  <si>
    <t>Insight Keseluruhan</t>
  </si>
  <si>
    <t>Performa toko menurut saya selama ini cukup memuaskan dengan hanya dari total 991transaksi walaupun agak lama karna setahun lebih</t>
  </si>
  <si>
    <t>Di tahun terakhir telihat di beberapa bulan dan kuartal sebelum nya masih stabil</t>
  </si>
  <si>
    <t>Bulan tertinggi terdapat di bulan juli dan terendah di januari awal awal rilis nya toko tersebut , alasan mengapa januari terkecil karna masih awal launchin simple nya begitu , nah kalau alasan dari stabil ke melonjak tinggi itu karna kurang ada alasan jelas sih sebenernya karna data nya meurut saya gaada keterangan</t>
  </si>
  <si>
    <t>spekulasi nya itu naik pas bulan juli karna disitu orang orang perpindahan semester dan kenaikan kelas otomatis make sense ? Mungkn kalau lebih banyak yang membutuhkan bahan pokok</t>
  </si>
  <si>
    <t>product sabun dengan 3645500</t>
  </si>
  <si>
    <t>minyak goreng adalah grafik yang terus naik yang terus mencetak ath dan lower high</t>
  </si>
  <si>
    <t>kota jakarta</t>
  </si>
  <si>
    <t>menurut saya tidak ada yang paling kecil pun 6,7jt dan paling besar nya 1jt an dengan banyak juga yang mepet di angka 7jt an</t>
  </si>
  <si>
    <t>Count of Transaction_ID</t>
  </si>
  <si>
    <t>Count of Payment_Method</t>
  </si>
  <si>
    <t>credit dengan metode pembayaran terbanyak</t>
  </si>
  <si>
    <t>kurang bisa di  chek karna di massive data nya itu ada di 2023, dan di 2024 hanya menual sedikit banget dengan menyumbang total revenue sebanyak 125k</t>
  </si>
  <si>
    <t>insight yang dapat di ambil bahwa secara hampir keseluruhan semua barang dan revenue perbulan nya stabil hampir sperti siewaays dan di juli tiba iba sangat melonjak di kebutuhan dan sayang nya kurang bisa di identifikasi karna kurang nya data yang bisa mendukung hal tersebut.</t>
  </si>
  <si>
    <t>langkah yang kemungkinan akan saya ambil itu untuk menggerakan promosi seperti baliho dan sebagainya untuk kebutuhan poko di toko, dan memperluas koneksi , agar keluar dari stability dan bisa terus menaik omset toko nya per bulan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</si>
</sst>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quot;Rp&quot;#,##0"/>
    <numFmt numFmtId="166" formatCode="_-[$Rp-3809]* #,##0_-;\-[$Rp-3809]* #,##0_-;_-[$Rp-3809]*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FA3A3"/>
        <bgColor indexed="64"/>
      </patternFill>
    </fill>
    <fill>
      <patternFill patternType="solid">
        <fgColor theme="0" tint="-4.9989318521683403E-2"/>
        <bgColor indexed="64"/>
      </patternFill>
    </fill>
    <fill>
      <patternFill patternType="solid">
        <fgColor theme="0"/>
        <bgColor indexed="64"/>
      </patternFill>
    </fill>
    <fill>
      <patternFill patternType="solid">
        <fgColor theme="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0" fontId="0" fillId="0" borderId="0" xfId="0" applyNumberFormat="1"/>
    <xf numFmtId="164" fontId="0" fillId="0" borderId="0" xfId="0" applyNumberFormat="1"/>
    <xf numFmtId="1"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33" borderId="0" xfId="0" applyFill="1"/>
    <xf numFmtId="0" fontId="0" fillId="34" borderId="0" xfId="0" applyFill="1"/>
    <xf numFmtId="0" fontId="0" fillId="35" borderId="0" xfId="0" applyFill="1"/>
    <xf numFmtId="165" fontId="0" fillId="0" borderId="0" xfId="0" applyNumberFormat="1"/>
    <xf numFmtId="166" fontId="0" fillId="0" borderId="0" xfId="0" applyNumberFormat="1"/>
    <xf numFmtId="0" fontId="0" fillId="36" borderId="0" xfId="0" applyFill="1"/>
    <xf numFmtId="0" fontId="16" fillId="0" borderId="10" xfId="0" applyFont="1" applyBorder="1"/>
    <xf numFmtId="0" fontId="0" fillId="0" borderId="10" xfId="0" applyBorder="1"/>
    <xf numFmtId="0" fontId="0" fillId="0" borderId="10" xfId="0" applyBorder="1" applyAlignment="1">
      <alignment horizontal="left" vertical="center" indent="1"/>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64" formatCode="0.0"/>
    </dxf>
    <dxf>
      <numFmt numFmtId="165" formatCode="&quot;Rp&quot;#,##0"/>
    </dxf>
    <dxf>
      <numFmt numFmtId="1" formatCode="0"/>
    </dxf>
    <dxf>
      <numFmt numFmtId="1" formatCode="0"/>
    </dxf>
    <dxf>
      <numFmt numFmtId="1" formatCode="0"/>
    </dxf>
    <dxf>
      <numFmt numFmtId="19" formatCode="dd/mm/yyyy"/>
    </dxf>
    <dxf>
      <font>
        <b/>
        <i val="0"/>
        <strike val="0"/>
        <u val="double"/>
        <sz val="10"/>
        <color rgb="FF0FA3A3"/>
        <name val="Poppins"/>
        <scheme val="none"/>
      </font>
      <fill>
        <patternFill patternType="none">
          <bgColor auto="1"/>
        </patternFill>
      </fill>
      <border diagonalUp="0" diagonalDown="0">
        <left/>
        <right/>
        <top/>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10"/>
        <color theme="0"/>
        <name val="Poppins"/>
      </font>
      <fill>
        <patternFill>
          <fgColor rgb="FF0FA3A3"/>
        </patternFill>
      </fill>
      <border diagonalUp="0" diagonalDown="0">
        <left/>
        <right/>
        <top/>
        <bottom/>
        <vertical/>
        <horizontal/>
      </border>
    </dxf>
    <dxf>
      <font>
        <b/>
        <i val="0"/>
        <u val="none"/>
        <sz val="10"/>
        <color theme="0"/>
        <name val="Poppins"/>
        <scheme val="none"/>
      </font>
      <fill>
        <patternFill>
          <fgColor rgb="FF0FA3A3"/>
          <bgColor rgb="FF0FA3A3"/>
        </patternFill>
      </fill>
    </dxf>
    <dxf>
      <font>
        <b/>
        <i val="0"/>
        <sz val="11"/>
        <color theme="0"/>
        <name val="Poppins"/>
        <scheme val="none"/>
      </font>
      <fill>
        <patternFill patternType="solid">
          <bgColor rgb="FF0FA3A3"/>
        </patternFill>
      </fill>
      <border diagonalUp="0" diagonalDown="0">
        <left/>
        <right/>
        <top/>
        <bottom/>
        <vertical/>
        <horizontal/>
      </border>
    </dxf>
    <dxf>
      <fill>
        <patternFill patternType="none">
          <bgColor auto="1"/>
        </patternFill>
      </fill>
      <border diagonalUp="0" diagonalDown="0">
        <left/>
        <right/>
        <top/>
        <bottom/>
        <vertical/>
        <horizontal/>
      </border>
    </dxf>
  </dxfs>
  <tableStyles count="4" defaultTableStyle="TableStyleMedium2" defaultPivotStyle="PivotStyleLight16">
    <tableStyle name="custom timeline" pivot="0" table="0" count="8" xr9:uid="{E40E48D0-72D5-4D64-8A0B-2F75811FC324}">
      <tableStyleElement type="wholeTable" dxfId="12"/>
      <tableStyleElement type="headerRow" dxfId="11"/>
    </tableStyle>
    <tableStyle name="customise" pivot="0" table="0" count="5" xr9:uid="{DF027E06-DDBA-4993-B649-D4BC1F379596}">
      <tableStyleElement type="headerRow" dxfId="10"/>
    </tableStyle>
    <tableStyle name="CustomSlincer" pivot="0" table="0" count="10" xr9:uid="{6A4401C5-A807-4857-92E7-9A3D0D06E475}">
      <tableStyleElement type="wholeTable" dxfId="9"/>
      <tableStyleElement type="headerRow" dxfId="8"/>
    </tableStyle>
    <tableStyle name="nyoba nyoba" pivot="0" table="0" count="10" xr9:uid="{51F035FE-D1D4-49E2-801E-D3DDFE9E7226}">
      <tableStyleElement type="wholeTable" dxfId="7"/>
      <tableStyleElement type="headerRow" dxfId="6"/>
    </tableStyle>
  </tableStyles>
  <colors>
    <mruColors>
      <color rgb="FF0FA3A3"/>
      <color rgb="FF33CCCC"/>
      <color rgb="FFFFFFFF"/>
      <color rgb="FF0099CC"/>
      <color rgb="FFFF8A33"/>
      <color rgb="FF204E5B"/>
    </mruColors>
  </colors>
  <extLst>
    <ext xmlns:x14="http://schemas.microsoft.com/office/spreadsheetml/2009/9/main" uri="{46F421CA-312F-682f-3DD2-61675219B42D}">
      <x14:dxfs count="2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trike val="0"/>
            <sz val="9"/>
            <color theme="0"/>
            <name val="Poppins"/>
            <scheme val="none"/>
          </font>
          <fill>
            <patternFill patternType="solid">
              <fgColor rgb="FF0FA3A3"/>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strike val="0"/>
            <sz val="8"/>
            <color theme="0" tint="-0.34998626667073579"/>
            <name val="Poppins"/>
            <scheme val="none"/>
          </font>
          <fill>
            <patternFill patternType="solid">
              <fgColor rgb="FF0FA3A3"/>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b val="0"/>
            <i val="0"/>
            <sz val="8"/>
            <color theme="0"/>
            <name val="Poppins"/>
            <scheme val="none"/>
          </font>
          <fill>
            <patternFill>
              <fgColor rgb="FF0FA3A3"/>
              <bgColor rgb="FF0FA3A3"/>
            </patternFill>
          </fill>
        </dxf>
        <dxf>
          <font>
            <b val="0"/>
            <i val="0"/>
            <sz val="8"/>
            <color theme="0"/>
            <name val="Poppins"/>
            <scheme val="none"/>
          </font>
          <fill>
            <patternFill patternType="solid">
              <fgColor indexed="64"/>
              <bgColor rgb="FF0FA3A3"/>
            </patternFill>
          </fill>
        </dxf>
        <dxf>
          <font>
            <b/>
            <i val="0"/>
            <sz val="8"/>
            <color theme="0"/>
            <name val="Poppins"/>
            <scheme val="none"/>
          </font>
          <fill>
            <patternFill>
              <fgColor rgb="FF0FA3A3"/>
              <bgColor rgb="FF0FA3A3"/>
            </patternFill>
          </fill>
        </dxf>
        <dxf>
          <font>
            <b val="0"/>
            <i val="0"/>
            <sz val="8"/>
            <color theme="0" tint="-0.24994659260841701"/>
            <name val="Poppins"/>
            <scheme val="none"/>
          </font>
          <fill>
            <patternFill>
              <fgColor theme="0"/>
            </patternFill>
          </fill>
        </dxf>
      </x14:dxfs>
    </ext>
    <ext xmlns:x14="http://schemas.microsoft.com/office/spreadsheetml/2009/9/main" uri="{EB79DEF2-80B8-43e5-95BD-54CBDDF9020C}">
      <x14:slicerStyles defaultSlicerStyle="SlicerStyleLight1">
        <x14:slicerStyle name="customise">
          <x14:slicerStyleElements>
            <x14:slicerStyleElement type="unselectedItemWithData" dxfId="19"/>
            <x14:slicerStyleElement type="selectedItemWithData" dxfId="18"/>
            <x14:slicerStyleElement type="hoveredUnselectedItemWithData" dxfId="17"/>
            <x14:slicerStyleElement type="hoveredSelectedItemWithData" dxfId="16"/>
          </x14:slicerStyleElements>
        </x14:slicerStyle>
        <x14:slicerStyle name="CustomSlin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nyoba nyoba">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none">
              <bgColor auto="1"/>
            </patternFill>
          </fill>
        </dxf>
        <dxf>
          <fill>
            <patternFill patternType="none">
              <bgColor auto="1"/>
            </patternFill>
          </fill>
          <border>
            <left style="thin">
              <color auto="1"/>
            </left>
            <right style="thin">
              <color auto="1"/>
            </right>
            <top style="thin">
              <color auto="1"/>
            </top>
            <bottom style="thin">
              <color auto="1"/>
            </bottom>
          </border>
        </dxf>
        <dxf>
          <fill>
            <patternFill>
              <bgColor rgb="FF0FA3A3"/>
            </patternFill>
          </fill>
          <border diagonalUp="0" diagonalDown="0">
            <left/>
            <right/>
            <top/>
            <bottom/>
            <vertical/>
            <horizontal/>
          </border>
        </dxf>
        <dxf>
          <font>
            <b val="0"/>
            <i val="0"/>
            <sz val="8"/>
            <color rgb="FF0FA3A3"/>
            <name val="Poppins"/>
            <scheme val="none"/>
          </font>
        </dxf>
        <dxf>
          <font>
            <b val="0"/>
            <i val="0"/>
            <sz val="8"/>
            <color rgb="FF0FA3A3"/>
            <name val="Poppins"/>
            <scheme val="none"/>
          </font>
        </dxf>
        <dxf>
          <font>
            <b val="0"/>
            <i val="0"/>
            <sz val="9"/>
            <name val="Poppins"/>
            <scheme val="none"/>
          </font>
        </dxf>
      </x15:dxfs>
    </ext>
    <ext xmlns:x15="http://schemas.microsoft.com/office/spreadsheetml/2010/11/main" uri="{9260A510-F301-46a8-8635-F512D64BE5F5}">
      <x15:timelineStyles defaultTimelineStyle="custom timeline">
        <x15:timelineStyle name="custom timeline">
          <x15:timelineStyleElements>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[store_data.xlsx]KPI&amp;PIVOT!PivotTable5</c:name>
    <c:fmtId val="3"/>
  </c:pivotSource>
  <c:chart>
    <c:title>
      <c:tx>
        <c:rich>
          <a:bodyPr rot="0" spcFirstLastPara="1" vertOverflow="ellipsis" vert="horz" wrap="square" anchor="ctr" anchorCtr="1"/>
          <a:lstStyle/>
          <a:p>
            <a:pPr>
              <a:defRPr sz="1400" b="1" i="0" u="none" strike="noStrike" kern="1200" spc="0" baseline="0">
                <a:solidFill>
                  <a:srgbClr val="0FA3A3"/>
                </a:solidFill>
                <a:latin typeface="Poppins" panose="00000500000000000000" pitchFamily="2" charset="0"/>
                <a:ea typeface="+mn-ea"/>
                <a:cs typeface="Poppins" panose="00000500000000000000" pitchFamily="2" charset="0"/>
              </a:defRPr>
            </a:pPr>
            <a:r>
              <a:rPr lang="en-US" b="1">
                <a:solidFill>
                  <a:srgbClr val="0FA3A3"/>
                </a:solidFill>
                <a:latin typeface="Poppins" panose="00000500000000000000" pitchFamily="2" charset="0"/>
                <a:cs typeface="Poppins" panose="00000500000000000000" pitchFamily="2" charset="0"/>
              </a:rPr>
              <a:t>REVENUE</a:t>
            </a:r>
            <a:r>
              <a:rPr lang="en-US" b="1" baseline="0">
                <a:solidFill>
                  <a:srgbClr val="0FA3A3"/>
                </a:solidFill>
                <a:latin typeface="Poppins" panose="00000500000000000000" pitchFamily="2" charset="0"/>
                <a:cs typeface="Poppins" panose="00000500000000000000" pitchFamily="2" charset="0"/>
              </a:rPr>
              <a:t> TREND PER MONTH</a:t>
            </a:r>
            <a:endParaRPr lang="en-US" b="1">
              <a:solidFill>
                <a:srgbClr val="0FA3A3"/>
              </a:solidFill>
              <a:latin typeface="Poppins" panose="00000500000000000000" pitchFamily="2" charset="0"/>
              <a:cs typeface="Poppins" panose="00000500000000000000" pitchFamily="2" charset="0"/>
            </a:endParaRPr>
          </a:p>
        </c:rich>
      </c:tx>
      <c:layout>
        <c:manualLayout>
          <c:xMode val="edge"/>
          <c:yMode val="edge"/>
          <c:x val="0.2053069294576936"/>
          <c:y val="3.93891426309543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FA3A3"/>
              </a:solidFill>
              <a:latin typeface="Poppins" panose="00000500000000000000" pitchFamily="2" charset="0"/>
              <a:ea typeface="+mn-ea"/>
              <a:cs typeface="Poppins" panose="00000500000000000000" pitchFamily="2"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FA3A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4681241106927"/>
          <c:y val="0.20186935598364111"/>
          <c:w val="0.86063245488378115"/>
          <c:h val="0.65929244538730269"/>
        </c:manualLayout>
      </c:layout>
      <c:lineChart>
        <c:grouping val="standard"/>
        <c:varyColors val="0"/>
        <c:ser>
          <c:idx val="0"/>
          <c:order val="0"/>
          <c:tx>
            <c:strRef>
              <c:f>'KPI&amp;PIVOT'!$B$8</c:f>
              <c:strCache>
                <c:ptCount val="1"/>
                <c:pt idx="0">
                  <c:v>Total</c:v>
                </c:pt>
              </c:strCache>
            </c:strRef>
          </c:tx>
          <c:spPr>
            <a:ln w="28575" cap="rnd">
              <a:solidFill>
                <a:srgbClr val="0FA3A3"/>
              </a:solidFill>
              <a:round/>
            </a:ln>
            <a:effectLst/>
          </c:spPr>
          <c:marker>
            <c:symbol val="none"/>
          </c:marker>
          <c:cat>
            <c:strRef>
              <c:f>'KPI&amp;PIVOT'!$A$9:$A$21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'KPI&amp;PIVOT'!$B$9:$B$21</c:f>
              <c:numCache>
                <c:formatCode>General</c:formatCode>
                <c:ptCount val="12"/>
                <c:pt idx="0">
                  <c:v>2392500</c:v>
                </c:pt>
                <c:pt idx="1">
                  <c:v>2685000</c:v>
                </c:pt>
                <c:pt idx="2">
                  <c:v>3035000</c:v>
                </c:pt>
                <c:pt idx="3">
                  <c:v>2425000</c:v>
                </c:pt>
                <c:pt idx="4">
                  <c:v>2852500</c:v>
                </c:pt>
                <c:pt idx="5">
                  <c:v>2725000</c:v>
                </c:pt>
                <c:pt idx="6">
                  <c:v>6777500</c:v>
                </c:pt>
                <c:pt idx="7">
                  <c:v>3310000</c:v>
                </c:pt>
                <c:pt idx="8">
                  <c:v>2475000</c:v>
                </c:pt>
                <c:pt idx="9">
                  <c:v>3070000</c:v>
                </c:pt>
                <c:pt idx="10">
                  <c:v>2847500</c:v>
                </c:pt>
                <c:pt idx="11">
                  <c:v>3162500</c:v>
                </c:pt>
              </c:numCache>
            </c:numRef>
          </c:val>
          <c:smooth val="0"/>
          <c:extLst>
            <c:ext xmlns:c16="http://schemas.microsoft.com/office/drawing/2014/chart" uri="{C3380CC4-5D6E-409C-BE32-E72D297353CC}">
              <c16:uniqueId val="{00000000-0069-4CCC-937A-ECA309BA6A2F}"/>
            </c:ext>
          </c:extLst>
        </c:ser>
        <c:dLbls>
          <c:showLegendKey val="0"/>
          <c:showVal val="0"/>
          <c:showCatName val="0"/>
          <c:showSerName val="0"/>
          <c:showPercent val="0"/>
          <c:showBubbleSize val="0"/>
        </c:dLbls>
        <c:smooth val="0"/>
        <c:axId val="438873032"/>
        <c:axId val="438875328"/>
      </c:lineChart>
      <c:catAx>
        <c:axId val="438873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438875328"/>
        <c:crosses val="autoZero"/>
        <c:auto val="1"/>
        <c:lblAlgn val="ctr"/>
        <c:lblOffset val="100"/>
        <c:noMultiLvlLbl val="0"/>
      </c:catAx>
      <c:valAx>
        <c:axId val="438875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873032"/>
        <c:crosses val="autoZero"/>
        <c:crossBetween val="between"/>
        <c:dispUnits>
          <c:builtInUnit val="tenThousands"/>
          <c:dispUnitsLbl>
            <c:layout>
              <c:manualLayout>
                <c:xMode val="edge"/>
                <c:yMode val="edge"/>
                <c:x val="2.4378714694654198E-2"/>
                <c:y val="1.969457131547718E-2"/>
              </c:manualLayout>
            </c:layout>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[store_data.xlsx]KPI&amp;PIVOT!PivotTable7</c:name>
    <c:fmtId val="9"/>
  </c:pivotSource>
  <c:chart>
    <c:title>
      <c:tx>
        <c:rich>
          <a:bodyPr rot="0" spcFirstLastPara="1" vertOverflow="ellipsis" vert="horz" wrap="square" anchor="ctr" anchorCtr="1"/>
          <a:lstStyle/>
          <a:p>
            <a:pPr algn="r">
              <a:defRPr sz="1400" b="1" i="0" u="none" strike="noStrike" kern="1200" spc="0" baseline="0">
                <a:solidFill>
                  <a:srgbClr val="0FA3A3"/>
                </a:solidFill>
                <a:latin typeface="Poppins" panose="00000500000000000000" pitchFamily="2" charset="0"/>
                <a:ea typeface="+mn-ea"/>
                <a:cs typeface="Poppins" panose="00000500000000000000" pitchFamily="2" charset="0"/>
              </a:defRPr>
            </a:pPr>
            <a:r>
              <a:rPr lang="en-US" b="1">
                <a:solidFill>
                  <a:srgbClr val="0FA3A3"/>
                </a:solidFill>
                <a:latin typeface="Poppins" panose="00000500000000000000" pitchFamily="2" charset="0"/>
                <a:cs typeface="Poppins" panose="00000500000000000000" pitchFamily="2" charset="0"/>
              </a:rPr>
              <a:t>TOP</a:t>
            </a:r>
            <a:r>
              <a:rPr lang="en-US" b="1" baseline="0">
                <a:solidFill>
                  <a:srgbClr val="0FA3A3"/>
                </a:solidFill>
                <a:latin typeface="Poppins" panose="00000500000000000000" pitchFamily="2" charset="0"/>
                <a:cs typeface="Poppins" panose="00000500000000000000" pitchFamily="2" charset="0"/>
              </a:rPr>
              <a:t> PRODUCT CATEGORY BY REVENUE</a:t>
            </a:r>
            <a:endParaRPr lang="en-US" b="1">
              <a:solidFill>
                <a:srgbClr val="0FA3A3"/>
              </a:solidFill>
              <a:latin typeface="Poppins" panose="00000500000000000000" pitchFamily="2" charset="0"/>
              <a:cs typeface="Poppins" panose="00000500000000000000" pitchFamily="2" charset="0"/>
            </a:endParaRPr>
          </a:p>
        </c:rich>
      </c:tx>
      <c:layout>
        <c:manualLayout>
          <c:xMode val="edge"/>
          <c:yMode val="edge"/>
          <c:x val="0.30235883539603697"/>
          <c:y val="6.4904559633766887E-2"/>
        </c:manualLayout>
      </c:layout>
      <c:overlay val="0"/>
      <c:spPr>
        <a:noFill/>
        <a:ln>
          <a:noFill/>
        </a:ln>
        <a:effectLst/>
      </c:spPr>
      <c:txPr>
        <a:bodyPr rot="0" spcFirstLastPara="1" vertOverflow="ellipsis" vert="horz" wrap="square" anchor="ctr" anchorCtr="1"/>
        <a:lstStyle/>
        <a:p>
          <a:pPr algn="r">
            <a:defRPr sz="1400" b="1" i="0" u="none" strike="noStrike" kern="1200" spc="0" baseline="0">
              <a:solidFill>
                <a:srgbClr val="0FA3A3"/>
              </a:solidFill>
              <a:latin typeface="Poppins" panose="00000500000000000000" pitchFamily="2" charset="0"/>
              <a:ea typeface="+mn-ea"/>
              <a:cs typeface="Poppins" panose="00000500000000000000" pitchFamily="2"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FA3A3"/>
          </a:solidFill>
          <a:ln>
            <a:noFill/>
          </a:ln>
          <a:effectLst/>
        </c:spPr>
      </c:pivotFmt>
      <c:pivotFmt>
        <c:idx val="4"/>
        <c:spPr>
          <a:solidFill>
            <a:srgbClr val="0FA3A3"/>
          </a:solidFill>
          <a:ln>
            <a:noFill/>
          </a:ln>
          <a:effectLst/>
        </c:spPr>
      </c:pivotFmt>
      <c:pivotFmt>
        <c:idx val="5"/>
        <c:spPr>
          <a:solidFill>
            <a:srgbClr val="0FA3A3"/>
          </a:solidFill>
          <a:ln>
            <a:noFill/>
          </a:ln>
          <a:effectLst/>
        </c:spPr>
      </c:pivotFmt>
    </c:pivotFmts>
    <c:plotArea>
      <c:layout>
        <c:manualLayout>
          <c:layoutTarget val="inner"/>
          <c:xMode val="edge"/>
          <c:yMode val="edge"/>
          <c:x val="0.23593754138333131"/>
          <c:y val="0.23465494636823411"/>
          <c:w val="0.69060789563538427"/>
          <c:h val="0.65848565200384479"/>
        </c:manualLayout>
      </c:layout>
      <c:barChart>
        <c:barDir val="bar"/>
        <c:grouping val="clustered"/>
        <c:varyColors val="0"/>
        <c:ser>
          <c:idx val="0"/>
          <c:order val="0"/>
          <c:tx>
            <c:strRef>
              <c:f>'KPI&amp;PIVOT'!$E$8</c:f>
              <c:strCache>
                <c:ptCount val="1"/>
                <c:pt idx="0">
                  <c:v>Total</c:v>
                </c:pt>
              </c:strCache>
            </c:strRef>
          </c:tx>
          <c:spPr>
            <a:solidFill>
              <a:schemeClr val="bg1">
                <a:lumMod val="75000"/>
              </a:schemeClr>
            </a:solidFill>
            <a:ln>
              <a:noFill/>
            </a:ln>
            <a:effectLst/>
          </c:spPr>
          <c:invertIfNegative val="0"/>
          <c:dPt>
            <c:idx val="1"/>
            <c:invertIfNegative val="0"/>
            <c:bubble3D val="0"/>
            <c:spPr>
              <a:solidFill>
                <a:srgbClr val="0FA3A3"/>
              </a:solidFill>
              <a:ln>
                <a:noFill/>
              </a:ln>
              <a:effectLst/>
            </c:spPr>
            <c:extLst>
              <c:ext xmlns:c16="http://schemas.microsoft.com/office/drawing/2014/chart" uri="{C3380CC4-5D6E-409C-BE32-E72D297353CC}">
                <c16:uniqueId val="{00000001-9644-46F4-8728-3726CE6AAB36}"/>
              </c:ext>
            </c:extLst>
          </c:dPt>
          <c:dPt>
            <c:idx val="2"/>
            <c:invertIfNegative val="0"/>
            <c:bubble3D val="0"/>
            <c:spPr>
              <a:solidFill>
                <a:srgbClr val="0FA3A3"/>
              </a:solidFill>
              <a:ln>
                <a:noFill/>
              </a:ln>
              <a:effectLst/>
            </c:spPr>
            <c:extLst>
              <c:ext xmlns:c16="http://schemas.microsoft.com/office/drawing/2014/chart" uri="{C3380CC4-5D6E-409C-BE32-E72D297353CC}">
                <c16:uniqueId val="{00000003-9644-46F4-8728-3726CE6AAB36}"/>
              </c:ext>
            </c:extLst>
          </c:dPt>
          <c:dPt>
            <c:idx val="3"/>
            <c:invertIfNegative val="0"/>
            <c:bubble3D val="0"/>
            <c:spPr>
              <a:solidFill>
                <a:srgbClr val="0FA3A3"/>
              </a:solidFill>
              <a:ln>
                <a:noFill/>
              </a:ln>
              <a:effectLst/>
            </c:spPr>
            <c:extLst>
              <c:ext xmlns:c16="http://schemas.microsoft.com/office/drawing/2014/chart" uri="{C3380CC4-5D6E-409C-BE32-E72D297353CC}">
                <c16:uniqueId val="{00000003-F190-42CC-BA23-BBD095EBCB03}"/>
              </c:ext>
            </c:extLst>
          </c:dPt>
          <c:cat>
            <c:strRef>
              <c:f>'KPI&amp;PIVOT'!$D$9:$D$16</c:f>
              <c:strCache>
                <c:ptCount val="7"/>
                <c:pt idx="0">
                  <c:v>Other</c:v>
                </c:pt>
                <c:pt idx="1">
                  <c:v>Sabun</c:v>
                </c:pt>
                <c:pt idx="2">
                  <c:v>Kopi</c:v>
                </c:pt>
                <c:pt idx="3">
                  <c:v>Beras</c:v>
                </c:pt>
                <c:pt idx="4">
                  <c:v>Susu</c:v>
                </c:pt>
                <c:pt idx="5">
                  <c:v>Minyak Goreng</c:v>
                </c:pt>
                <c:pt idx="6">
                  <c:v>Indomie</c:v>
                </c:pt>
              </c:strCache>
            </c:strRef>
          </c:cat>
          <c:val>
            <c:numRef>
              <c:f>'KPI&amp;PIVOT'!$E$9:$E$16</c:f>
              <c:numCache>
                <c:formatCode>General</c:formatCode>
                <c:ptCount val="7"/>
                <c:pt idx="0">
                  <c:v>16900000</c:v>
                </c:pt>
                <c:pt idx="1">
                  <c:v>3642500</c:v>
                </c:pt>
                <c:pt idx="2">
                  <c:v>3625000</c:v>
                </c:pt>
                <c:pt idx="3">
                  <c:v>3507500</c:v>
                </c:pt>
                <c:pt idx="4">
                  <c:v>3400000</c:v>
                </c:pt>
                <c:pt idx="5">
                  <c:v>3350000</c:v>
                </c:pt>
                <c:pt idx="6">
                  <c:v>3332500</c:v>
                </c:pt>
              </c:numCache>
            </c:numRef>
          </c:val>
          <c:extLst>
            <c:ext xmlns:c16="http://schemas.microsoft.com/office/drawing/2014/chart" uri="{C3380CC4-5D6E-409C-BE32-E72D297353CC}">
              <c16:uniqueId val="{00000000-D33D-4270-8B8A-F7F0DF3F27E9}"/>
            </c:ext>
          </c:extLst>
        </c:ser>
        <c:dLbls>
          <c:showLegendKey val="0"/>
          <c:showVal val="0"/>
          <c:showCatName val="0"/>
          <c:showSerName val="0"/>
          <c:showPercent val="0"/>
          <c:showBubbleSize val="0"/>
        </c:dLbls>
        <c:gapWidth val="47"/>
        <c:axId val="499473112"/>
        <c:axId val="499473440"/>
      </c:barChart>
      <c:catAx>
        <c:axId val="499473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499473440"/>
        <c:crosses val="autoZero"/>
        <c:auto val="1"/>
        <c:lblAlgn val="ctr"/>
        <c:lblOffset val="100"/>
        <c:noMultiLvlLbl val="0"/>
      </c:catAx>
      <c:valAx>
        <c:axId val="499473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473112"/>
        <c:crosses val="autoZero"/>
        <c:crossBetween val="between"/>
        <c:dispUnits>
          <c:builtInUnit val="tenThousands"/>
          <c:dispUnitsLbl>
            <c:layout>
              <c:manualLayout>
                <c:xMode val="edge"/>
                <c:yMode val="edge"/>
                <c:x val="4.8416141354364436E-2"/>
                <c:y val="6.1787096533247356E-2"/>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800" b="0" i="0" u="none" strike="noStrike" kern="1200" baseline="0">
                    <a:solidFill>
                      <a:schemeClr val="bg1">
                        <a:lumMod val="65000"/>
                      </a:schemeClr>
                    </a:solidFill>
                    <a:latin typeface="Poppins" panose="00000500000000000000" pitchFamily="2" charset="0"/>
                    <a:ea typeface="+mn-ea"/>
                    <a:cs typeface="Poppins" panose="00000500000000000000" pitchFamily="2" charset="0"/>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[store_data.xlsx]KPI&amp;PIVOT!PivotTable8</c:name>
    <c:fmtId val="3"/>
  </c:pivotSource>
  <c:chart>
    <c:title>
      <c:tx>
        <c:rich>
          <a:bodyPr rot="0" spcFirstLastPara="1" vertOverflow="ellipsis" vert="horz" wrap="square" anchor="ctr" anchorCtr="1"/>
          <a:lstStyle/>
          <a:p>
            <a:pPr>
              <a:defRPr sz="1400" b="1" i="0" u="none" strike="noStrike" kern="1200" spc="0" baseline="0">
                <a:solidFill>
                  <a:srgbClr val="0FA3A3"/>
                </a:solidFill>
                <a:latin typeface="Poppins" panose="00000500000000000000" pitchFamily="2" charset="0"/>
                <a:ea typeface="+mn-ea"/>
                <a:cs typeface="Poppins" panose="00000500000000000000" pitchFamily="2" charset="0"/>
              </a:defRPr>
            </a:pPr>
            <a:r>
              <a:rPr lang="en-ID" b="1">
                <a:solidFill>
                  <a:srgbClr val="0FA3A3"/>
                </a:solidFill>
                <a:latin typeface="Poppins" panose="00000500000000000000" pitchFamily="2" charset="0"/>
                <a:cs typeface="Poppins" panose="00000500000000000000" pitchFamily="2" charset="0"/>
              </a:rPr>
              <a:t>TOP CATEGORIES BY REVENUE</a:t>
            </a:r>
          </a:p>
        </c:rich>
      </c:tx>
      <c:layout>
        <c:manualLayout>
          <c:xMode val="edge"/>
          <c:yMode val="edge"/>
          <c:x val="0.18167815336236817"/>
          <c:y val="5.125627194254992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FA3A3"/>
              </a:solidFill>
              <a:latin typeface="Poppins" panose="00000500000000000000" pitchFamily="2" charset="0"/>
              <a:ea typeface="+mn-ea"/>
              <a:cs typeface="Poppins" panose="00000500000000000000" pitchFamily="2"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FA3A3"/>
          </a:solidFill>
          <a:ln>
            <a:noFill/>
          </a:ln>
          <a:effectLst/>
        </c:spPr>
      </c:pivotFmt>
      <c:pivotFmt>
        <c:idx val="4"/>
        <c:spPr>
          <a:solidFill>
            <a:srgbClr val="0FA3A3"/>
          </a:solidFill>
          <a:ln>
            <a:noFill/>
          </a:ln>
          <a:effectLst/>
        </c:spPr>
      </c:pivotFmt>
      <c:pivotFmt>
        <c:idx val="5"/>
        <c:spPr>
          <a:solidFill>
            <a:srgbClr val="0FA3A3"/>
          </a:solidFill>
          <a:ln>
            <a:noFill/>
          </a:ln>
          <a:effectLst/>
        </c:spPr>
      </c:pivotFmt>
    </c:pivotFmts>
    <c:plotArea>
      <c:layout>
        <c:manualLayout>
          <c:layoutTarget val="inner"/>
          <c:xMode val="edge"/>
          <c:yMode val="edge"/>
          <c:x val="0.12671240537617054"/>
          <c:y val="0.23350079440494967"/>
          <c:w val="0.77607884575464892"/>
          <c:h val="0.61043349891097243"/>
        </c:manualLayout>
      </c:layout>
      <c:barChart>
        <c:barDir val="bar"/>
        <c:grouping val="clustered"/>
        <c:varyColors val="0"/>
        <c:ser>
          <c:idx val="0"/>
          <c:order val="0"/>
          <c:tx>
            <c:strRef>
              <c:f>'KPI&amp;PIVOT'!$H$8</c:f>
              <c:strCache>
                <c:ptCount val="1"/>
                <c:pt idx="0">
                  <c:v>Total</c:v>
                </c:pt>
              </c:strCache>
            </c:strRef>
          </c:tx>
          <c:spPr>
            <a:solidFill>
              <a:schemeClr val="bg1">
                <a:lumMod val="75000"/>
              </a:schemeClr>
            </a:solidFill>
            <a:ln>
              <a:noFill/>
            </a:ln>
            <a:effectLst/>
          </c:spPr>
          <c:invertIfNegative val="0"/>
          <c:dPt>
            <c:idx val="1"/>
            <c:invertIfNegative val="0"/>
            <c:bubble3D val="0"/>
            <c:spPr>
              <a:solidFill>
                <a:srgbClr val="0FA3A3"/>
              </a:solidFill>
              <a:ln>
                <a:noFill/>
              </a:ln>
              <a:effectLst/>
            </c:spPr>
            <c:extLst>
              <c:ext xmlns:c16="http://schemas.microsoft.com/office/drawing/2014/chart" uri="{C3380CC4-5D6E-409C-BE32-E72D297353CC}">
                <c16:uniqueId val="{00000003-A40D-40B7-9EB0-7B426E636A59}"/>
              </c:ext>
            </c:extLst>
          </c:dPt>
          <c:dPt>
            <c:idx val="7"/>
            <c:invertIfNegative val="0"/>
            <c:bubble3D val="0"/>
            <c:spPr>
              <a:solidFill>
                <a:srgbClr val="0FA3A3"/>
              </a:solidFill>
              <a:ln>
                <a:noFill/>
              </a:ln>
              <a:effectLst/>
            </c:spPr>
            <c:extLst>
              <c:ext xmlns:c16="http://schemas.microsoft.com/office/drawing/2014/chart" uri="{C3380CC4-5D6E-409C-BE32-E72D297353CC}">
                <c16:uniqueId val="{00000001-A40D-40B7-9EB0-7B426E636A59}"/>
              </c:ext>
            </c:extLst>
          </c:dPt>
          <c:dPt>
            <c:idx val="9"/>
            <c:invertIfNegative val="0"/>
            <c:bubble3D val="0"/>
            <c:spPr>
              <a:solidFill>
                <a:srgbClr val="0FA3A3"/>
              </a:solidFill>
              <a:ln>
                <a:noFill/>
              </a:ln>
              <a:effectLst/>
            </c:spPr>
            <c:extLst>
              <c:ext xmlns:c16="http://schemas.microsoft.com/office/drawing/2014/chart" uri="{C3380CC4-5D6E-409C-BE32-E72D297353CC}">
                <c16:uniqueId val="{00000002-A40D-40B7-9EB0-7B426E636A59}"/>
              </c:ext>
            </c:extLst>
          </c:dPt>
          <c:cat>
            <c:strRef>
              <c:f>'KPI&amp;PIVOT'!$G$9:$G$19</c:f>
              <c:strCache>
                <c:ptCount val="10"/>
                <c:pt idx="0">
                  <c:v>Andi</c:v>
                </c:pt>
                <c:pt idx="1">
                  <c:v>Budi</c:v>
                </c:pt>
                <c:pt idx="2">
                  <c:v>Citra</c:v>
                </c:pt>
                <c:pt idx="3">
                  <c:v>Dewi</c:v>
                </c:pt>
                <c:pt idx="4">
                  <c:v>Eka</c:v>
                </c:pt>
                <c:pt idx="5">
                  <c:v>Fajar</c:v>
                </c:pt>
                <c:pt idx="6">
                  <c:v>Gilang</c:v>
                </c:pt>
                <c:pt idx="7">
                  <c:v>Hana</c:v>
                </c:pt>
                <c:pt idx="8">
                  <c:v>Joko</c:v>
                </c:pt>
                <c:pt idx="9">
                  <c:v>Kiki</c:v>
                </c:pt>
              </c:strCache>
            </c:strRef>
          </c:cat>
          <c:val>
            <c:numRef>
              <c:f>'KPI&amp;PIVOT'!$H$9:$H$19</c:f>
              <c:numCache>
                <c:formatCode>General</c:formatCode>
                <c:ptCount val="10"/>
                <c:pt idx="0">
                  <c:v>3545000</c:v>
                </c:pt>
                <c:pt idx="1">
                  <c:v>3797500</c:v>
                </c:pt>
                <c:pt idx="2">
                  <c:v>3252500</c:v>
                </c:pt>
                <c:pt idx="3">
                  <c:v>3230000</c:v>
                </c:pt>
                <c:pt idx="4">
                  <c:v>3242500</c:v>
                </c:pt>
                <c:pt idx="5">
                  <c:v>3425000</c:v>
                </c:pt>
                <c:pt idx="6">
                  <c:v>3342500</c:v>
                </c:pt>
                <c:pt idx="7">
                  <c:v>3847500</c:v>
                </c:pt>
                <c:pt idx="8">
                  <c:v>3552500</c:v>
                </c:pt>
                <c:pt idx="9">
                  <c:v>3787500</c:v>
                </c:pt>
              </c:numCache>
            </c:numRef>
          </c:val>
          <c:extLst>
            <c:ext xmlns:c16="http://schemas.microsoft.com/office/drawing/2014/chart" uri="{C3380CC4-5D6E-409C-BE32-E72D297353CC}">
              <c16:uniqueId val="{00000000-EB20-4EDE-B5AE-8E70CC84DFDE}"/>
            </c:ext>
          </c:extLst>
        </c:ser>
        <c:dLbls>
          <c:showLegendKey val="0"/>
          <c:showVal val="0"/>
          <c:showCatName val="0"/>
          <c:showSerName val="0"/>
          <c:showPercent val="0"/>
          <c:showBubbleSize val="0"/>
        </c:dLbls>
        <c:gapWidth val="47"/>
        <c:axId val="543302512"/>
        <c:axId val="543299888"/>
      </c:barChart>
      <c:catAx>
        <c:axId val="543302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543299888"/>
        <c:crosses val="autoZero"/>
        <c:auto val="1"/>
        <c:lblAlgn val="ctr"/>
        <c:lblOffset val="100"/>
        <c:noMultiLvlLbl val="0"/>
      </c:catAx>
      <c:valAx>
        <c:axId val="543299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302512"/>
        <c:crosses val="autoZero"/>
        <c:crossBetween val="between"/>
        <c:dispUnits>
          <c:builtInUnit val="tenThousands"/>
          <c:dispUnitsLbl>
            <c:layout>
              <c:manualLayout>
                <c:xMode val="edge"/>
                <c:yMode val="edge"/>
                <c:x val="2.9558635385802813E-2"/>
                <c:y val="8.1914518170864106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800" b="1" i="0" u="none" strike="noStrike" kern="1200" baseline="0">
                    <a:solidFill>
                      <a:schemeClr val="bg1">
                        <a:lumMod val="75000"/>
                      </a:schemeClr>
                    </a:solidFill>
                    <a:latin typeface="Poppins" panose="00000500000000000000" pitchFamily="2" charset="0"/>
                    <a:ea typeface="+mn-ea"/>
                    <a:cs typeface="Poppins" panose="00000500000000000000" pitchFamily="2" charset="0"/>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[store_data.xlsx]KPI&amp;PIVOT!PivotTable9</c:name>
    <c:fmtId val="3"/>
  </c:pivotSource>
  <c:chart>
    <c:title>
      <c:tx>
        <c:rich>
          <a:bodyPr rot="0" spcFirstLastPara="1" vertOverflow="ellipsis" vert="horz" wrap="square" anchor="ctr" anchorCtr="1"/>
          <a:lstStyle/>
          <a:p>
            <a:pPr>
              <a:defRPr sz="1400" b="1" i="0" u="none" strike="noStrike" kern="1200" spc="0" baseline="0">
                <a:solidFill>
                  <a:srgbClr val="0FA3A3"/>
                </a:solidFill>
                <a:latin typeface="Poppins" panose="00000500000000000000" pitchFamily="2" charset="0"/>
                <a:ea typeface="+mn-ea"/>
                <a:cs typeface="Poppins" panose="00000500000000000000" pitchFamily="2" charset="0"/>
              </a:defRPr>
            </a:pPr>
            <a:r>
              <a:rPr lang="en-ID" b="1">
                <a:solidFill>
                  <a:srgbClr val="0FA3A3"/>
                </a:solidFill>
                <a:latin typeface="Poppins" panose="00000500000000000000" pitchFamily="2" charset="0"/>
                <a:cs typeface="Poppins" panose="00000500000000000000" pitchFamily="2" charset="0"/>
              </a:rPr>
              <a:t>STORE PERFORMACE</a:t>
            </a:r>
          </a:p>
          <a:p>
            <a:pPr>
              <a:defRPr b="1">
                <a:solidFill>
                  <a:srgbClr val="0FA3A3"/>
                </a:solidFill>
                <a:latin typeface="Poppins" panose="00000500000000000000" pitchFamily="2" charset="0"/>
                <a:cs typeface="Poppins" panose="00000500000000000000" pitchFamily="2" charset="0"/>
              </a:defRPr>
            </a:pPr>
            <a:r>
              <a:rPr lang="en-ID" b="1">
                <a:solidFill>
                  <a:srgbClr val="0FA3A3"/>
                </a:solidFill>
                <a:latin typeface="Poppins" panose="00000500000000000000" pitchFamily="2" charset="0"/>
                <a:cs typeface="Poppins" panose="00000500000000000000" pitchFamily="2" charset="0"/>
              </a:rPr>
              <a:t>BY PAYMENT METHOD</a:t>
            </a:r>
          </a:p>
        </c:rich>
      </c:tx>
      <c:layout>
        <c:manualLayout>
          <c:xMode val="edge"/>
          <c:yMode val="edge"/>
          <c:x val="0.27594209740513137"/>
          <c:y val="2.943722743039660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FA3A3"/>
              </a:solidFill>
              <a:latin typeface="Poppins" panose="00000500000000000000" pitchFamily="2" charset="0"/>
              <a:ea typeface="+mn-ea"/>
              <a:cs typeface="Poppins" panose="00000500000000000000" pitchFamily="2"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33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FA3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s>
    <c:plotArea>
      <c:layout>
        <c:manualLayout>
          <c:layoutTarget val="inner"/>
          <c:xMode val="edge"/>
          <c:yMode val="edge"/>
          <c:x val="0.11170662214235998"/>
          <c:y val="0.24084558242636153"/>
          <c:w val="0.85245314886471957"/>
          <c:h val="0.67968240244862099"/>
        </c:manualLayout>
      </c:layout>
      <c:barChart>
        <c:barDir val="col"/>
        <c:grouping val="stacked"/>
        <c:varyColors val="0"/>
        <c:ser>
          <c:idx val="0"/>
          <c:order val="0"/>
          <c:tx>
            <c:strRef>
              <c:f>'KPI&amp;PIVOT'!$B$27:$B$28</c:f>
              <c:strCache>
                <c:ptCount val="1"/>
                <c:pt idx="0">
                  <c:v>Cash</c:v>
                </c:pt>
              </c:strCache>
            </c:strRef>
          </c:tx>
          <c:spPr>
            <a:solidFill>
              <a:schemeClr val="accent1">
                <a:lumMod val="20000"/>
                <a:lumOff val="80000"/>
              </a:schemeClr>
            </a:solidFill>
            <a:ln>
              <a:noFill/>
            </a:ln>
            <a:effectLst/>
          </c:spPr>
          <c:invertIfNegative val="0"/>
          <c:cat>
            <c:strRef>
              <c:f>'KPI&amp;PIVOT'!$A$29:$A$34</c:f>
              <c:strCache>
                <c:ptCount val="5"/>
                <c:pt idx="0">
                  <c:v>Bandung</c:v>
                </c:pt>
                <c:pt idx="1">
                  <c:v>Jakarta</c:v>
                </c:pt>
                <c:pt idx="2">
                  <c:v>Medan</c:v>
                </c:pt>
                <c:pt idx="3">
                  <c:v>Surabaya</c:v>
                </c:pt>
                <c:pt idx="4">
                  <c:v>Yogyakarta</c:v>
                </c:pt>
              </c:strCache>
            </c:strRef>
          </c:cat>
          <c:val>
            <c:numRef>
              <c:f>'KPI&amp;PIVOT'!$B$29:$B$34</c:f>
              <c:numCache>
                <c:formatCode>General</c:formatCode>
                <c:ptCount val="5"/>
                <c:pt idx="0">
                  <c:v>1482500</c:v>
                </c:pt>
                <c:pt idx="1">
                  <c:v>2072500</c:v>
                </c:pt>
                <c:pt idx="2">
                  <c:v>1777500</c:v>
                </c:pt>
                <c:pt idx="3">
                  <c:v>1585000</c:v>
                </c:pt>
                <c:pt idx="4">
                  <c:v>1495000</c:v>
                </c:pt>
              </c:numCache>
            </c:numRef>
          </c:val>
          <c:extLst>
            <c:ext xmlns:c16="http://schemas.microsoft.com/office/drawing/2014/chart" uri="{C3380CC4-5D6E-409C-BE32-E72D297353CC}">
              <c16:uniqueId val="{00000000-FEA0-4F1D-8C41-1AEE307BC648}"/>
            </c:ext>
          </c:extLst>
        </c:ser>
        <c:ser>
          <c:idx val="1"/>
          <c:order val="1"/>
          <c:tx>
            <c:strRef>
              <c:f>'KPI&amp;PIVOT'!$C$27:$C$28</c:f>
              <c:strCache>
                <c:ptCount val="1"/>
                <c:pt idx="0">
                  <c:v>Credit</c:v>
                </c:pt>
              </c:strCache>
            </c:strRef>
          </c:tx>
          <c:spPr>
            <a:solidFill>
              <a:schemeClr val="accent1">
                <a:lumMod val="40000"/>
                <a:lumOff val="60000"/>
              </a:schemeClr>
            </a:solidFill>
            <a:ln>
              <a:noFill/>
            </a:ln>
            <a:effectLst/>
          </c:spPr>
          <c:invertIfNegative val="0"/>
          <c:cat>
            <c:strRef>
              <c:f>'KPI&amp;PIVOT'!$A$29:$A$34</c:f>
              <c:strCache>
                <c:ptCount val="5"/>
                <c:pt idx="0">
                  <c:v>Bandung</c:v>
                </c:pt>
                <c:pt idx="1">
                  <c:v>Jakarta</c:v>
                </c:pt>
                <c:pt idx="2">
                  <c:v>Medan</c:v>
                </c:pt>
                <c:pt idx="3">
                  <c:v>Surabaya</c:v>
                </c:pt>
                <c:pt idx="4">
                  <c:v>Yogyakarta</c:v>
                </c:pt>
              </c:strCache>
            </c:strRef>
          </c:cat>
          <c:val>
            <c:numRef>
              <c:f>'KPI&amp;PIVOT'!$C$29:$C$34</c:f>
              <c:numCache>
                <c:formatCode>General</c:formatCode>
                <c:ptCount val="5"/>
                <c:pt idx="0">
                  <c:v>1590000</c:v>
                </c:pt>
                <c:pt idx="1">
                  <c:v>3230000</c:v>
                </c:pt>
                <c:pt idx="2">
                  <c:v>1950000</c:v>
                </c:pt>
                <c:pt idx="3">
                  <c:v>1580000</c:v>
                </c:pt>
                <c:pt idx="4">
                  <c:v>1855000</c:v>
                </c:pt>
              </c:numCache>
            </c:numRef>
          </c:val>
          <c:extLst>
            <c:ext xmlns:c16="http://schemas.microsoft.com/office/drawing/2014/chart" uri="{C3380CC4-5D6E-409C-BE32-E72D297353CC}">
              <c16:uniqueId val="{00000003-6BBA-41E1-B3D3-B751E44DC67E}"/>
            </c:ext>
          </c:extLst>
        </c:ser>
        <c:ser>
          <c:idx val="2"/>
          <c:order val="2"/>
          <c:tx>
            <c:strRef>
              <c:f>'KPI&amp;PIVOT'!$D$27:$D$28</c:f>
              <c:strCache>
                <c:ptCount val="1"/>
                <c:pt idx="0">
                  <c:v>Debit</c:v>
                </c:pt>
              </c:strCache>
            </c:strRef>
          </c:tx>
          <c:spPr>
            <a:solidFill>
              <a:srgbClr val="33CCCC"/>
            </a:solidFill>
            <a:ln>
              <a:noFill/>
            </a:ln>
            <a:effectLst/>
          </c:spPr>
          <c:invertIfNegative val="0"/>
          <c:cat>
            <c:strRef>
              <c:f>'KPI&amp;PIVOT'!$A$29:$A$34</c:f>
              <c:strCache>
                <c:ptCount val="5"/>
                <c:pt idx="0">
                  <c:v>Bandung</c:v>
                </c:pt>
                <c:pt idx="1">
                  <c:v>Jakarta</c:v>
                </c:pt>
                <c:pt idx="2">
                  <c:v>Medan</c:v>
                </c:pt>
                <c:pt idx="3">
                  <c:v>Surabaya</c:v>
                </c:pt>
                <c:pt idx="4">
                  <c:v>Yogyakarta</c:v>
                </c:pt>
              </c:strCache>
            </c:strRef>
          </c:cat>
          <c:val>
            <c:numRef>
              <c:f>'KPI&amp;PIVOT'!$D$29:$D$34</c:f>
              <c:numCache>
                <c:formatCode>General</c:formatCode>
                <c:ptCount val="5"/>
                <c:pt idx="0">
                  <c:v>1482500</c:v>
                </c:pt>
                <c:pt idx="1">
                  <c:v>2767500</c:v>
                </c:pt>
                <c:pt idx="2">
                  <c:v>1395000</c:v>
                </c:pt>
                <c:pt idx="3">
                  <c:v>2205000</c:v>
                </c:pt>
                <c:pt idx="4">
                  <c:v>1547500</c:v>
                </c:pt>
              </c:numCache>
            </c:numRef>
          </c:val>
          <c:extLst>
            <c:ext xmlns:c16="http://schemas.microsoft.com/office/drawing/2014/chart" uri="{C3380CC4-5D6E-409C-BE32-E72D297353CC}">
              <c16:uniqueId val="{00000004-6BBA-41E1-B3D3-B751E44DC67E}"/>
            </c:ext>
          </c:extLst>
        </c:ser>
        <c:ser>
          <c:idx val="3"/>
          <c:order val="3"/>
          <c:tx>
            <c:strRef>
              <c:f>'KPI&amp;PIVOT'!$E$27:$E$28</c:f>
              <c:strCache>
                <c:ptCount val="1"/>
                <c:pt idx="0">
                  <c:v>E-Wallet</c:v>
                </c:pt>
              </c:strCache>
            </c:strRef>
          </c:tx>
          <c:spPr>
            <a:solidFill>
              <a:srgbClr val="0FA3A3"/>
            </a:solidFill>
            <a:ln>
              <a:noFill/>
            </a:ln>
            <a:effectLst/>
          </c:spPr>
          <c:invertIfNegative val="0"/>
          <c:cat>
            <c:strRef>
              <c:f>'KPI&amp;PIVOT'!$A$29:$A$34</c:f>
              <c:strCache>
                <c:ptCount val="5"/>
                <c:pt idx="0">
                  <c:v>Bandung</c:v>
                </c:pt>
                <c:pt idx="1">
                  <c:v>Jakarta</c:v>
                </c:pt>
                <c:pt idx="2">
                  <c:v>Medan</c:v>
                </c:pt>
                <c:pt idx="3">
                  <c:v>Surabaya</c:v>
                </c:pt>
                <c:pt idx="4">
                  <c:v>Yogyakarta</c:v>
                </c:pt>
              </c:strCache>
            </c:strRef>
          </c:cat>
          <c:val>
            <c:numRef>
              <c:f>'KPI&amp;PIVOT'!$E$29:$E$34</c:f>
              <c:numCache>
                <c:formatCode>General</c:formatCode>
                <c:ptCount val="5"/>
                <c:pt idx="0">
                  <c:v>2232500</c:v>
                </c:pt>
                <c:pt idx="1">
                  <c:v>2030000</c:v>
                </c:pt>
                <c:pt idx="2">
                  <c:v>1837500</c:v>
                </c:pt>
                <c:pt idx="3">
                  <c:v>1532500</c:v>
                </c:pt>
                <c:pt idx="4">
                  <c:v>2110000</c:v>
                </c:pt>
              </c:numCache>
            </c:numRef>
          </c:val>
          <c:extLst>
            <c:ext xmlns:c16="http://schemas.microsoft.com/office/drawing/2014/chart" uri="{C3380CC4-5D6E-409C-BE32-E72D297353CC}">
              <c16:uniqueId val="{00000004-AAAC-48A0-8FF9-B1AA0E2E76B6}"/>
            </c:ext>
          </c:extLst>
        </c:ser>
        <c:dLbls>
          <c:showLegendKey val="0"/>
          <c:showVal val="0"/>
          <c:showCatName val="0"/>
          <c:showSerName val="0"/>
          <c:showPercent val="0"/>
          <c:showBubbleSize val="0"/>
        </c:dLbls>
        <c:gapWidth val="43"/>
        <c:overlap val="100"/>
        <c:axId val="432475616"/>
        <c:axId val="432473320"/>
      </c:barChart>
      <c:catAx>
        <c:axId val="43247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432473320"/>
        <c:crosses val="autoZero"/>
        <c:auto val="1"/>
        <c:lblAlgn val="ctr"/>
        <c:lblOffset val="100"/>
        <c:noMultiLvlLbl val="0"/>
      </c:catAx>
      <c:valAx>
        <c:axId val="432473320"/>
        <c:scaling>
          <c:orientation val="minMax"/>
          <c:max val="11000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475616"/>
        <c:crosses val="autoZero"/>
        <c:crossBetween val="between"/>
        <c:dispUnits>
          <c:builtInUnit val="tenThousands"/>
          <c:dispUnitsLbl>
            <c:layout>
              <c:manualLayout>
                <c:xMode val="edge"/>
                <c:yMode val="edge"/>
                <c:x val="0.16469092411970479"/>
                <c:y val="6.4222217843981938E-2"/>
              </c:manualLayout>
            </c:layout>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ispUnitsLbl>
        </c:dispUnits>
      </c:valAx>
      <c:spPr>
        <a:noFill/>
        <a:ln>
          <a:noFill/>
        </a:ln>
        <a:effectLst/>
      </c:spPr>
    </c:plotArea>
    <c:legend>
      <c:legendPos val="r"/>
      <c:layout>
        <c:manualLayout>
          <c:xMode val="edge"/>
          <c:yMode val="edge"/>
          <c:x val="0.79367914632835035"/>
          <c:y val="3.0450532516353698E-2"/>
          <c:w val="0.16627052173283516"/>
          <c:h val="0.380033833495778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[store_data.xlsx]KPI&amp;PIVOT!PivotTable10</c:name>
    <c:fmtId val="3"/>
  </c:pivotSource>
  <c:chart>
    <c:title>
      <c:tx>
        <c:rich>
          <a:bodyPr rot="0" spcFirstLastPara="1" vertOverflow="ellipsis" vert="horz" wrap="square" anchor="ctr" anchorCtr="1"/>
          <a:lstStyle/>
          <a:p>
            <a:pPr algn="r">
              <a:defRPr sz="1400" b="1" i="0" u="none" strike="noStrike" kern="1200" spc="0" baseline="0">
                <a:solidFill>
                  <a:srgbClr val="0FA3A3"/>
                </a:solidFill>
                <a:latin typeface="+mn-lt"/>
                <a:ea typeface="+mn-ea"/>
                <a:cs typeface="+mn-cs"/>
              </a:defRPr>
            </a:pPr>
            <a:r>
              <a:rPr lang="en-ID" sz="1400" b="1" i="0" baseline="0">
                <a:solidFill>
                  <a:srgbClr val="0FA3A3"/>
                </a:solidFill>
                <a:effectLst/>
                <a:latin typeface="Poppins" panose="00000500000000000000" pitchFamily="2" charset="0"/>
                <a:cs typeface="Poppins" panose="00000500000000000000" pitchFamily="2" charset="0"/>
              </a:rPr>
              <a:t>MONTHLY REVENUE COMPARISON BY CATEGORY</a:t>
            </a:r>
            <a:endParaRPr lang="en-ID" sz="1400" b="1">
              <a:solidFill>
                <a:srgbClr val="0FA3A3"/>
              </a:solidFill>
              <a:effectLst/>
              <a:latin typeface="Poppins" panose="00000500000000000000" pitchFamily="2" charset="0"/>
              <a:cs typeface="Poppins" panose="00000500000000000000" pitchFamily="2" charset="0"/>
            </a:endParaRPr>
          </a:p>
        </c:rich>
      </c:tx>
      <c:layout>
        <c:manualLayout>
          <c:xMode val="edge"/>
          <c:yMode val="edge"/>
          <c:x val="0.1643648295290481"/>
          <c:y val="3.4643377795582249E-2"/>
        </c:manualLayout>
      </c:layout>
      <c:overlay val="0"/>
      <c:spPr>
        <a:noFill/>
        <a:ln>
          <a:noFill/>
        </a:ln>
        <a:effectLst/>
      </c:spPr>
      <c:txPr>
        <a:bodyPr rot="0" spcFirstLastPara="1" vertOverflow="ellipsis" vert="horz" wrap="square" anchor="ctr" anchorCtr="1"/>
        <a:lstStyle/>
        <a:p>
          <a:pPr algn="r">
            <a:defRPr sz="1400" b="1" i="0" u="none" strike="noStrike" kern="1200" spc="0" baseline="0">
              <a:solidFill>
                <a:srgbClr val="0FA3A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FA3A3"/>
          </a:solidFill>
          <a:ln>
            <a:noFill/>
          </a:ln>
          <a:effectLst/>
        </c:spPr>
      </c:pivotFmt>
      <c:pivotFmt>
        <c:idx val="4"/>
        <c:spPr>
          <a:solidFill>
            <a:srgbClr val="0FA3A3"/>
          </a:solidFill>
          <a:ln>
            <a:noFill/>
          </a:ln>
          <a:effectLst/>
        </c:spPr>
      </c:pivotFmt>
    </c:pivotFmts>
    <c:plotArea>
      <c:layout>
        <c:manualLayout>
          <c:layoutTarget val="inner"/>
          <c:xMode val="edge"/>
          <c:yMode val="edge"/>
          <c:x val="0.10572562144909753"/>
          <c:y val="0.23260553662748082"/>
          <c:w val="0.86074887227383834"/>
          <c:h val="0.65258498441437696"/>
        </c:manualLayout>
      </c:layout>
      <c:barChart>
        <c:barDir val="col"/>
        <c:grouping val="clustered"/>
        <c:varyColors val="0"/>
        <c:ser>
          <c:idx val="0"/>
          <c:order val="0"/>
          <c:tx>
            <c:strRef>
              <c:f>'KPI&amp;PIVOT'!$I$27</c:f>
              <c:strCache>
                <c:ptCount val="1"/>
                <c:pt idx="0">
                  <c:v>Total</c:v>
                </c:pt>
              </c:strCache>
            </c:strRef>
          </c:tx>
          <c:spPr>
            <a:solidFill>
              <a:schemeClr val="bg1">
                <a:lumMod val="65000"/>
              </a:schemeClr>
            </a:solidFill>
            <a:ln>
              <a:noFill/>
            </a:ln>
            <a:effectLst/>
          </c:spPr>
          <c:invertIfNegative val="0"/>
          <c:dPt>
            <c:idx val="1"/>
            <c:invertIfNegative val="0"/>
            <c:bubble3D val="0"/>
            <c:spPr>
              <a:solidFill>
                <a:srgbClr val="0FA3A3"/>
              </a:solidFill>
              <a:ln>
                <a:noFill/>
              </a:ln>
              <a:effectLst/>
            </c:spPr>
            <c:extLst>
              <c:ext xmlns:c16="http://schemas.microsoft.com/office/drawing/2014/chart" uri="{C3380CC4-5D6E-409C-BE32-E72D297353CC}">
                <c16:uniqueId val="{00000001-FEB5-472B-9033-01900571B10E}"/>
              </c:ext>
            </c:extLst>
          </c:dPt>
          <c:dPt>
            <c:idx val="2"/>
            <c:invertIfNegative val="0"/>
            <c:bubble3D val="0"/>
            <c:spPr>
              <a:solidFill>
                <a:srgbClr val="0FA3A3"/>
              </a:solidFill>
              <a:ln>
                <a:noFill/>
              </a:ln>
              <a:effectLst/>
            </c:spPr>
            <c:extLst>
              <c:ext xmlns:c16="http://schemas.microsoft.com/office/drawing/2014/chart" uri="{C3380CC4-5D6E-409C-BE32-E72D297353CC}">
                <c16:uniqueId val="{00000003-7D53-40E9-9802-DDAA377D7FB7}"/>
              </c:ext>
            </c:extLst>
          </c:dPt>
          <c:cat>
            <c:strRef>
              <c:f>'KPI&amp;PIVOT'!$H$28:$H$33</c:f>
              <c:strCache>
                <c:ptCount val="5"/>
                <c:pt idx="0">
                  <c:v>Bandung</c:v>
                </c:pt>
                <c:pt idx="1">
                  <c:v>Jakarta</c:v>
                </c:pt>
                <c:pt idx="2">
                  <c:v>Medan</c:v>
                </c:pt>
                <c:pt idx="3">
                  <c:v>Surabaya</c:v>
                </c:pt>
                <c:pt idx="4">
                  <c:v>Yogyakarta</c:v>
                </c:pt>
              </c:strCache>
            </c:strRef>
          </c:cat>
          <c:val>
            <c:numRef>
              <c:f>'KPI&amp;PIVOT'!$I$28:$I$33</c:f>
              <c:numCache>
                <c:formatCode>General</c:formatCode>
                <c:ptCount val="5"/>
                <c:pt idx="0">
                  <c:v>7157500</c:v>
                </c:pt>
                <c:pt idx="1">
                  <c:v>8677500</c:v>
                </c:pt>
                <c:pt idx="2">
                  <c:v>7417500</c:v>
                </c:pt>
                <c:pt idx="3">
                  <c:v>7137500</c:v>
                </c:pt>
                <c:pt idx="4">
                  <c:v>7367500</c:v>
                </c:pt>
              </c:numCache>
            </c:numRef>
          </c:val>
          <c:extLst>
            <c:ext xmlns:c16="http://schemas.microsoft.com/office/drawing/2014/chart" uri="{C3380CC4-5D6E-409C-BE32-E72D297353CC}">
              <c16:uniqueId val="{00000000-352F-4B32-8F73-A7E7A2732AF7}"/>
            </c:ext>
          </c:extLst>
        </c:ser>
        <c:dLbls>
          <c:showLegendKey val="0"/>
          <c:showVal val="0"/>
          <c:showCatName val="0"/>
          <c:showSerName val="0"/>
          <c:showPercent val="0"/>
          <c:showBubbleSize val="0"/>
        </c:dLbls>
        <c:gapWidth val="44"/>
        <c:overlap val="6"/>
        <c:axId val="544369200"/>
        <c:axId val="544363624"/>
      </c:barChart>
      <c:catAx>
        <c:axId val="54436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544363624"/>
        <c:crosses val="autoZero"/>
        <c:auto val="1"/>
        <c:lblAlgn val="ctr"/>
        <c:lblOffset val="100"/>
        <c:noMultiLvlLbl val="0"/>
      </c:catAx>
      <c:valAx>
        <c:axId val="544363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369200"/>
        <c:crosses val="autoZero"/>
        <c:crossBetween val="between"/>
        <c:dispUnits>
          <c:builtInUnit val="tenThousands"/>
          <c:dispUnitsLbl>
            <c:layout>
              <c:manualLayout>
                <c:xMode val="edge"/>
                <c:yMode val="edge"/>
                <c:x val="7.2504089100568006E-2"/>
                <c:y val="3.4643377795582249E-2"/>
              </c:manualLayout>
            </c:layout>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[store_data.xlsx]KPI&amp;PIVOT!PivotTable11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bg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FA3A3"/>
                  </a:solidFill>
                  <a:latin typeface="Poppins" panose="00000500000000000000" pitchFamily="2" charset="0"/>
                  <a:ea typeface="+mn-ea"/>
                  <a:cs typeface="Poppins" panose="000005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bg1"/>
          </a:solidFill>
          <a:ln w="19050">
            <a:noFill/>
          </a:ln>
          <a:effectLst/>
        </c:spPr>
        <c:dLbl>
          <c:idx val="0"/>
          <c:layout>
            <c:manualLayout>
              <c:x val="4.7206963161805348E-3"/>
              <c:y val="-6.3152394906918364E-3"/>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0FA3A3"/>
                  </a:solidFill>
                  <a:latin typeface="Poppins" panose="00000500000000000000" pitchFamily="2" charset="0"/>
                  <a:ea typeface="+mn-ea"/>
                  <a:cs typeface="Poppins" panose="000005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739350138102802"/>
                  <c:h val="0.28315931929021287"/>
                </c:manualLayout>
              </c15:layout>
            </c:ext>
          </c:extLst>
        </c:dLbl>
      </c:pivotFmt>
      <c:pivotFmt>
        <c:idx val="18"/>
        <c:spPr>
          <a:solidFill>
            <a:schemeClr val="bg1"/>
          </a:solidFill>
          <a:ln w="19050">
            <a:noFill/>
          </a:ln>
          <a:effectLst/>
        </c:spPr>
        <c:dLbl>
          <c:idx val="0"/>
          <c:layout>
            <c:manualLayout>
              <c:x val="4.720510469311664E-3"/>
              <c:y val="4.5475445573127339E-3"/>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0FA3A3"/>
                  </a:solidFill>
                  <a:latin typeface="Poppins" panose="00000500000000000000" pitchFamily="2" charset="0"/>
                  <a:ea typeface="+mn-ea"/>
                  <a:cs typeface="Poppins" panose="000005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380688354500673"/>
                  <c:h val="0.26178880462680054"/>
                </c:manualLayout>
              </c15:layout>
            </c:ext>
          </c:extLst>
        </c:dLbl>
      </c:pivotFmt>
      <c:pivotFmt>
        <c:idx val="19"/>
        <c:spPr>
          <a:solidFill>
            <a:schemeClr val="bg1"/>
          </a:solidFill>
          <a:ln w="19050">
            <a:noFill/>
          </a:ln>
          <a:effectLst/>
        </c:spPr>
        <c:dLbl>
          <c:idx val="0"/>
          <c:layout>
            <c:manualLayout>
              <c:x val="1.8584686887053796E-7"/>
              <c:y val="5.3426286658530726E-3"/>
            </c:manualLayout>
          </c:layout>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0FA3A3"/>
                  </a:solidFill>
                  <a:latin typeface="Poppins" panose="00000500000000000000" pitchFamily="2" charset="0"/>
                  <a:ea typeface="+mn-ea"/>
                  <a:cs typeface="Poppins" panose="000005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818578516771007"/>
                  <c:h val="0.21370514663412291"/>
                </c:manualLayout>
              </c15:layout>
            </c:ext>
          </c:extLst>
        </c:dLbl>
      </c:pivotFmt>
      <c:pivotFmt>
        <c:idx val="20"/>
        <c:spPr>
          <a:solidFill>
            <a:srgbClr val="33CCCC"/>
          </a:solidFill>
          <a:ln w="19050">
            <a:noFill/>
          </a:ln>
          <a:effectLst/>
        </c:spPr>
      </c:pivotFmt>
      <c:pivotFmt>
        <c:idx val="21"/>
        <c:spPr>
          <a:solidFill>
            <a:srgbClr val="33CCCC"/>
          </a:solidFill>
          <a:ln w="19050">
            <a:noFill/>
          </a:ln>
          <a:effectLst/>
        </c:spPr>
        <c:dLbl>
          <c:idx val="0"/>
          <c:layout>
            <c:manualLayout>
              <c:x val="-2.1242297111902488E-2"/>
              <c:y val="-2.1370514663412388E-2"/>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1931491640421991"/>
                  <c:h val="0.22973303263168213"/>
                </c:manualLayout>
              </c15:layout>
            </c:ext>
          </c:extLst>
        </c:dLbl>
      </c:pivotFmt>
      <c:pivotFmt>
        <c:idx val="22"/>
        <c:spPr>
          <a:solidFill>
            <a:schemeClr val="bg1"/>
          </a:solidFill>
          <a:ln w="19050">
            <a:noFill/>
          </a:ln>
          <a:effectLst/>
        </c:spPr>
      </c:pivotFmt>
      <c:pivotFmt>
        <c:idx val="23"/>
        <c:spPr>
          <a:solidFill>
            <a:srgbClr val="33CCCC"/>
          </a:solidFill>
          <a:ln w="19050">
            <a:noFill/>
          </a:ln>
          <a:effectLst/>
        </c:spPr>
      </c:pivotFmt>
    </c:pivotFmts>
    <c:plotArea>
      <c:layout>
        <c:manualLayout>
          <c:layoutTarget val="inner"/>
          <c:xMode val="edge"/>
          <c:yMode val="edge"/>
          <c:x val="6.2609951653795529E-2"/>
          <c:y val="3.5647953583915239E-2"/>
          <c:w val="0.8517328547900358"/>
          <c:h val="0.96398311056254515"/>
        </c:manualLayout>
      </c:layout>
      <c:doughnutChart>
        <c:varyColors val="1"/>
        <c:ser>
          <c:idx val="0"/>
          <c:order val="0"/>
          <c:tx>
            <c:strRef>
              <c:f>'KPI&amp;PIVOT'!$L$8</c:f>
              <c:strCache>
                <c:ptCount val="1"/>
                <c:pt idx="0">
                  <c:v>Total</c:v>
                </c:pt>
              </c:strCache>
            </c:strRef>
          </c:tx>
          <c:spPr>
            <a:solidFill>
              <a:schemeClr val="bg1"/>
            </a:solidFill>
            <a:ln>
              <a:noFill/>
            </a:ln>
          </c:spPr>
          <c:explosion val="8"/>
          <c:dPt>
            <c:idx val="0"/>
            <c:bubble3D val="0"/>
            <c:spPr>
              <a:solidFill>
                <a:schemeClr val="bg1"/>
              </a:solidFill>
              <a:ln w="19050">
                <a:noFill/>
              </a:ln>
              <a:effectLst/>
            </c:spPr>
            <c:extLst>
              <c:ext xmlns:c16="http://schemas.microsoft.com/office/drawing/2014/chart" uri="{C3380CC4-5D6E-409C-BE32-E72D297353CC}">
                <c16:uniqueId val="{00000001-0448-4D3E-A8C5-FA6FDFBA0B65}"/>
              </c:ext>
            </c:extLst>
          </c:dPt>
          <c:dPt>
            <c:idx val="1"/>
            <c:bubble3D val="0"/>
            <c:spPr>
              <a:solidFill>
                <a:schemeClr val="bg1"/>
              </a:solidFill>
              <a:ln w="19050">
                <a:noFill/>
              </a:ln>
              <a:effectLst/>
            </c:spPr>
            <c:extLst>
              <c:ext xmlns:c16="http://schemas.microsoft.com/office/drawing/2014/chart" uri="{C3380CC4-5D6E-409C-BE32-E72D297353CC}">
                <c16:uniqueId val="{00000003-0448-4D3E-A8C5-FA6FDFBA0B65}"/>
              </c:ext>
            </c:extLst>
          </c:dPt>
          <c:dPt>
            <c:idx val="2"/>
            <c:bubble3D val="0"/>
            <c:spPr>
              <a:solidFill>
                <a:schemeClr val="bg1"/>
              </a:solidFill>
              <a:ln w="19050">
                <a:noFill/>
              </a:ln>
              <a:effectLst/>
            </c:spPr>
            <c:extLst>
              <c:ext xmlns:c16="http://schemas.microsoft.com/office/drawing/2014/chart" uri="{C3380CC4-5D6E-409C-BE32-E72D297353CC}">
                <c16:uniqueId val="{00000005-0448-4D3E-A8C5-FA6FDFBA0B65}"/>
              </c:ext>
            </c:extLst>
          </c:dPt>
          <c:dPt>
            <c:idx val="3"/>
            <c:bubble3D val="0"/>
            <c:spPr>
              <a:solidFill>
                <a:srgbClr val="33CCCC"/>
              </a:solidFill>
              <a:ln w="19050">
                <a:noFill/>
              </a:ln>
              <a:effectLst/>
            </c:spPr>
            <c:extLst>
              <c:ext xmlns:c16="http://schemas.microsoft.com/office/drawing/2014/chart" uri="{C3380CC4-5D6E-409C-BE32-E72D297353CC}">
                <c16:uniqueId val="{00000007-0448-4D3E-A8C5-FA6FDFBA0B65}"/>
              </c:ext>
            </c:extLst>
          </c:dPt>
          <c:dPt>
            <c:idx val="4"/>
            <c:bubble3D val="0"/>
            <c:spPr>
              <a:solidFill>
                <a:srgbClr val="33CCCC"/>
              </a:solidFill>
              <a:ln w="19050">
                <a:noFill/>
              </a:ln>
              <a:effectLst/>
            </c:spPr>
            <c:extLst>
              <c:ext xmlns:c16="http://schemas.microsoft.com/office/drawing/2014/chart" uri="{C3380CC4-5D6E-409C-BE32-E72D297353CC}">
                <c16:uniqueId val="{00000009-0448-4D3E-A8C5-FA6FDFBA0B65}"/>
              </c:ext>
            </c:extLst>
          </c:dPt>
          <c:dPt>
            <c:idx val="5"/>
            <c:bubble3D val="0"/>
            <c:spPr>
              <a:solidFill>
                <a:schemeClr val="bg1"/>
              </a:solidFill>
              <a:ln w="19050">
                <a:noFill/>
              </a:ln>
              <a:effectLst/>
            </c:spPr>
            <c:extLst>
              <c:ext xmlns:c16="http://schemas.microsoft.com/office/drawing/2014/chart" uri="{C3380CC4-5D6E-409C-BE32-E72D297353CC}">
                <c16:uniqueId val="{0000000B-0448-4D3E-A8C5-FA6FDFBA0B65}"/>
              </c:ext>
            </c:extLst>
          </c:dPt>
          <c:dPt>
            <c:idx val="6"/>
            <c:bubble3D val="0"/>
            <c:spPr>
              <a:solidFill>
                <a:srgbClr val="33CCCC"/>
              </a:solidFill>
              <a:ln w="19050">
                <a:noFill/>
              </a:ln>
              <a:effectLst/>
            </c:spPr>
            <c:extLst>
              <c:ext xmlns:c16="http://schemas.microsoft.com/office/drawing/2014/chart" uri="{C3380CC4-5D6E-409C-BE32-E72D297353CC}">
                <c16:uniqueId val="{0000000D-0448-4D3E-A8C5-FA6FDFBA0B65}"/>
              </c:ext>
            </c:extLst>
          </c:dPt>
          <c:dLbls>
            <c:dLbl>
              <c:idx val="0"/>
              <c:layout>
                <c:manualLayout>
                  <c:x val="4.7206963161805348E-3"/>
                  <c:y val="-6.3152394906918364E-3"/>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0FA3A3"/>
                      </a:solidFill>
                      <a:latin typeface="Poppins" panose="00000500000000000000" pitchFamily="2" charset="0"/>
                      <a:ea typeface="+mn-ea"/>
                      <a:cs typeface="Poppins" panose="000005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739350138102802"/>
                      <c:h val="0.28315931929021287"/>
                    </c:manualLayout>
                  </c15:layout>
                </c:ext>
                <c:ext xmlns:c16="http://schemas.microsoft.com/office/drawing/2014/chart" uri="{C3380CC4-5D6E-409C-BE32-E72D297353CC}">
                  <c16:uniqueId val="{00000001-0448-4D3E-A8C5-FA6FDFBA0B65}"/>
                </c:ext>
              </c:extLst>
            </c:dLbl>
            <c:dLbl>
              <c:idx val="1"/>
              <c:layout>
                <c:manualLayout>
                  <c:x val="4.720510469311664E-3"/>
                  <c:y val="4.5475445573127339E-3"/>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0FA3A3"/>
                      </a:solidFill>
                      <a:latin typeface="Poppins" panose="00000500000000000000" pitchFamily="2" charset="0"/>
                      <a:ea typeface="+mn-ea"/>
                      <a:cs typeface="Poppins" panose="000005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380688354500673"/>
                      <c:h val="0.26178880462680054"/>
                    </c:manualLayout>
                  </c15:layout>
                </c:ext>
                <c:ext xmlns:c16="http://schemas.microsoft.com/office/drawing/2014/chart" uri="{C3380CC4-5D6E-409C-BE32-E72D297353CC}">
                  <c16:uniqueId val="{00000003-0448-4D3E-A8C5-FA6FDFBA0B65}"/>
                </c:ext>
              </c:extLst>
            </c:dLbl>
            <c:dLbl>
              <c:idx val="2"/>
              <c:layout>
                <c:manualLayout>
                  <c:x val="1.8584686887053796E-7"/>
                  <c:y val="5.3426286658530726E-3"/>
                </c:manualLayout>
              </c:layout>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0FA3A3"/>
                      </a:solidFill>
                      <a:latin typeface="Poppins" panose="00000500000000000000" pitchFamily="2" charset="0"/>
                      <a:ea typeface="+mn-ea"/>
                      <a:cs typeface="Poppins" panose="000005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818578516771007"/>
                      <c:h val="0.21370514663412291"/>
                    </c:manualLayout>
                  </c15:layout>
                </c:ext>
                <c:ext xmlns:c16="http://schemas.microsoft.com/office/drawing/2014/chart" uri="{C3380CC4-5D6E-409C-BE32-E72D297353CC}">
                  <c16:uniqueId val="{00000005-0448-4D3E-A8C5-FA6FDFBA0B65}"/>
                </c:ext>
              </c:extLst>
            </c:dLbl>
            <c:dLbl>
              <c:idx val="4"/>
              <c:layout>
                <c:manualLayout>
                  <c:x val="-2.1242297111902488E-2"/>
                  <c:y val="-2.1370514663412388E-2"/>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1931491640421991"/>
                      <c:h val="0.22973303263168213"/>
                    </c:manualLayout>
                  </c15:layout>
                </c:ext>
                <c:ext xmlns:c16="http://schemas.microsoft.com/office/drawing/2014/chart" uri="{C3380CC4-5D6E-409C-BE32-E72D297353CC}">
                  <c16:uniqueId val="{00000009-0448-4D3E-A8C5-FA6FDFBA0B65}"/>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FA3A3"/>
                    </a:solidFill>
                    <a:latin typeface="Poppins" panose="00000500000000000000" pitchFamily="2" charset="0"/>
                    <a:ea typeface="+mn-ea"/>
                    <a:cs typeface="Poppins" panose="00000500000000000000" pitchFamily="2" charset="0"/>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'KPI&amp;PIVOT'!$K$9:$K$16</c:f>
              <c:strCache>
                <c:ptCount val="7"/>
                <c:pt idx="0">
                  <c:v>Beras</c:v>
                </c:pt>
                <c:pt idx="1">
                  <c:v>Indomie</c:v>
                </c:pt>
                <c:pt idx="2">
                  <c:v>Minyak Goreng</c:v>
                </c:pt>
                <c:pt idx="3">
                  <c:v>Susu</c:v>
                </c:pt>
                <c:pt idx="4">
                  <c:v>Other</c:v>
                </c:pt>
                <c:pt idx="5">
                  <c:v>Kopi</c:v>
                </c:pt>
                <c:pt idx="6">
                  <c:v>Sabun</c:v>
                </c:pt>
              </c:strCache>
            </c:strRef>
          </c:cat>
          <c:val>
            <c:numRef>
              <c:f>'KPI&amp;PIVOT'!$L$9:$L$16</c:f>
              <c:numCache>
                <c:formatCode>General</c:formatCode>
                <c:ptCount val="7"/>
                <c:pt idx="0">
                  <c:v>273</c:v>
                </c:pt>
                <c:pt idx="1">
                  <c:v>282</c:v>
                </c:pt>
                <c:pt idx="2">
                  <c:v>266</c:v>
                </c:pt>
                <c:pt idx="3">
                  <c:v>292</c:v>
                </c:pt>
                <c:pt idx="4">
                  <c:v>1344</c:v>
                </c:pt>
                <c:pt idx="5">
                  <c:v>280</c:v>
                </c:pt>
                <c:pt idx="6">
                  <c:v>288</c:v>
                </c:pt>
              </c:numCache>
            </c:numRef>
          </c:val>
          <c:extLst>
            <c:ext xmlns:c16="http://schemas.microsoft.com/office/drawing/2014/chart" uri="{C3380CC4-5D6E-409C-BE32-E72D297353CC}">
              <c16:uniqueId val="{0000000E-0448-4D3E-A8C5-FA6FDFBA0B65}"/>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Contact Me'!A1"/><Relationship Id="rId7" Type="http://schemas.openxmlformats.org/officeDocument/2006/relationships/hyperlink" Target="#'About Data'!A1"/><Relationship Id="rId2" Type="http://schemas.openxmlformats.org/officeDocument/2006/relationships/image" Target="../media/image1.png"/><Relationship Id="rId1" Type="http://schemas.openxmlformats.org/officeDocument/2006/relationships/hyperlink" Target="#'KPI Summary'!A1"/><Relationship Id="rId6" Type="http://schemas.openxmlformats.org/officeDocument/2006/relationships/image" Target="../media/image3.png"/><Relationship Id="rId5" Type="http://schemas.openxmlformats.org/officeDocument/2006/relationships/hyperlink" Target="#DASHBOARD!A1"/><Relationship Id="rId10" Type="http://schemas.openxmlformats.org/officeDocument/2006/relationships/image" Target="../media/image6.png"/><Relationship Id="rId4" Type="http://schemas.openxmlformats.org/officeDocument/2006/relationships/image" Target="../media/image2.png"/><Relationship Id="rId9"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microsoft.com/office/2007/relationships/hdphoto" Target="../media/hdphoto1.wdp"/><Relationship Id="rId13" Type="http://schemas.openxmlformats.org/officeDocument/2006/relationships/hyperlink" Target="#'Contact Me'!A1"/><Relationship Id="rId3" Type="http://schemas.openxmlformats.org/officeDocument/2006/relationships/chart" Target="../charts/chart3.xml"/><Relationship Id="rId7" Type="http://schemas.openxmlformats.org/officeDocument/2006/relationships/image" Target="../media/image7.png"/><Relationship Id="rId12" Type="http://schemas.openxmlformats.org/officeDocument/2006/relationships/image" Target="../media/image1.png"/><Relationship Id="rId2" Type="http://schemas.openxmlformats.org/officeDocument/2006/relationships/chart" Target="../charts/chart2.xml"/><Relationship Id="rId16"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KPI Summary'!A1"/><Relationship Id="rId5" Type="http://schemas.openxmlformats.org/officeDocument/2006/relationships/chart" Target="../charts/chart5.xml"/><Relationship Id="rId15" Type="http://schemas.openxmlformats.org/officeDocument/2006/relationships/hyperlink" Target="#DASHBOARD!A1"/><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hyperlink" Target="#'About Data'!A1"/><Relationship Id="rId14" Type="http://schemas.openxmlformats.org/officeDocument/2006/relationships/image" Target="../media/image2.png"/></Relationships>
</file>

<file path=xl/drawings/_rels/drawing5.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hyperlink" Target="#'Contact Me'!A1"/><Relationship Id="rId7" Type="http://schemas.openxmlformats.org/officeDocument/2006/relationships/hyperlink" Target="#'KPI Summary'!A1"/><Relationship Id="rId2" Type="http://schemas.openxmlformats.org/officeDocument/2006/relationships/image" Target="../media/image4.png"/><Relationship Id="rId1" Type="http://schemas.openxmlformats.org/officeDocument/2006/relationships/hyperlink" Target="#'About Data'!A1"/><Relationship Id="rId6" Type="http://schemas.openxmlformats.org/officeDocument/2006/relationships/image" Target="../media/image3.png"/><Relationship Id="rId5" Type="http://schemas.openxmlformats.org/officeDocument/2006/relationships/hyperlink" Target="#DASHBOARD!A1"/><Relationship Id="rId10" Type="http://schemas.openxmlformats.org/officeDocument/2006/relationships/image" Target="../media/image9.png"/><Relationship Id="rId4" Type="http://schemas.openxmlformats.org/officeDocument/2006/relationships/image" Target="../media/image2.png"/><Relationship Id="rId9" Type="http://schemas.openxmlformats.org/officeDocument/2006/relationships/image" Target="../media/image8.png"/></Relationships>
</file>

<file path=xl/drawings/_rels/drawing6.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14.png"/><Relationship Id="rId3" Type="http://schemas.openxmlformats.org/officeDocument/2006/relationships/hyperlink" Target="#'KPI Summary'!A1"/><Relationship Id="rId7" Type="http://schemas.openxmlformats.org/officeDocument/2006/relationships/hyperlink" Target="#'Contact Me'!A1"/><Relationship Id="rId12" Type="http://schemas.openxmlformats.org/officeDocument/2006/relationships/image" Target="../media/image13.png"/><Relationship Id="rId2" Type="http://schemas.openxmlformats.org/officeDocument/2006/relationships/image" Target="../media/image4.png"/><Relationship Id="rId1" Type="http://schemas.openxmlformats.org/officeDocument/2006/relationships/hyperlink" Target="#'About Data'!A1"/><Relationship Id="rId6" Type="http://schemas.openxmlformats.org/officeDocument/2006/relationships/image" Target="../media/image3.png"/><Relationship Id="rId11" Type="http://schemas.openxmlformats.org/officeDocument/2006/relationships/image" Target="../media/image12.png"/><Relationship Id="rId5" Type="http://schemas.openxmlformats.org/officeDocument/2006/relationships/hyperlink" Target="#DASHBOARD!A1"/><Relationship Id="rId10" Type="http://schemas.openxmlformats.org/officeDocument/2006/relationships/image" Target="../media/image11.png"/><Relationship Id="rId4" Type="http://schemas.openxmlformats.org/officeDocument/2006/relationships/image" Target="../media/image1.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0</xdr:col>
      <xdr:colOff>76200</xdr:colOff>
      <xdr:row>23</xdr:row>
      <xdr:rowOff>180974</xdr:rowOff>
    </xdr:from>
    <xdr:to>
      <xdr:col>12</xdr:col>
      <xdr:colOff>438150</xdr:colOff>
      <xdr:row>45</xdr:row>
      <xdr:rowOff>57149</xdr:rowOff>
    </xdr:to>
    <xdr:sp macro="" textlink="">
      <xdr:nvSpPr>
        <xdr:cNvPr id="2" name="TextBox 1">
          <a:extLst>
            <a:ext uri="{FF2B5EF4-FFF2-40B4-BE49-F238E27FC236}">
              <a16:creationId xmlns:a16="http://schemas.microsoft.com/office/drawing/2014/main" id="{96FDBED9-5586-481A-B958-481632D9DBFD}"/>
            </a:ext>
          </a:extLst>
        </xdr:cNvPr>
        <xdr:cNvSpPr txBox="1"/>
      </xdr:nvSpPr>
      <xdr:spPr>
        <a:xfrm>
          <a:off x="76200" y="4562474"/>
          <a:ext cx="11582400" cy="406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b="1"/>
            <a:t>📊 Store Performance Analysis</a:t>
          </a:r>
        </a:p>
        <a:p>
          <a:r>
            <a:rPr lang="en-ID" b="1"/>
            <a:t>Performa toko</a:t>
          </a:r>
          <a:r>
            <a:rPr lang="en-ID"/>
            <a:t> selama periode analisis menunjukkan hasil yang cukup memuaskan.</a:t>
          </a:r>
          <a:br>
            <a:rPr lang="en-ID"/>
          </a:br>
          <a:r>
            <a:rPr lang="en-ID"/>
            <a:t>Dengan total </a:t>
          </a:r>
          <a:r>
            <a:rPr lang="en-ID" b="1"/>
            <a:t>991 transaksi</a:t>
          </a:r>
          <a:r>
            <a:rPr lang="en-ID"/>
            <a:t> selama setahun, penjualan terbilang stabil meskipun tidak mengalami lonjakan besar di setiap kuartal.</a:t>
          </a:r>
        </a:p>
        <a:p>
          <a:r>
            <a:rPr lang="en-ID" b="1"/>
            <a:t>📈 Monthly Revenue Trend</a:t>
          </a:r>
        </a:p>
        <a:p>
          <a:r>
            <a:rPr lang="en-ID"/>
            <a:t>Penjualan </a:t>
          </a:r>
          <a:r>
            <a:rPr lang="en-ID" b="1"/>
            <a:t>tertinggi terjadi pada bulan Juli</a:t>
          </a:r>
          <a:r>
            <a:rPr lang="en-ID"/>
            <a:t>, sementara </a:t>
          </a:r>
          <a:r>
            <a:rPr lang="en-ID" b="1"/>
            <a:t>terendah di bulan Januari</a:t>
          </a:r>
          <a:r>
            <a:rPr lang="en-ID"/>
            <a:t>.</a:t>
          </a:r>
          <a:br>
            <a:rPr lang="en-ID"/>
          </a:br>
          <a:r>
            <a:rPr lang="en-ID"/>
            <a:t>Hal ini bisa disebabkan karena </a:t>
          </a:r>
          <a:r>
            <a:rPr lang="en-ID" b="1"/>
            <a:t>bulan Januari merupakan awal peluncuran toko</a:t>
          </a:r>
          <a:r>
            <a:rPr lang="en-ID"/>
            <a:t>, sehingga masih dalam tahap adaptasi pasar.</a:t>
          </a:r>
          <a:br>
            <a:rPr lang="en-ID"/>
          </a:br>
          <a:r>
            <a:rPr lang="en-ID"/>
            <a:t>Sedangkan </a:t>
          </a:r>
          <a:r>
            <a:rPr lang="en-ID" b="1"/>
            <a:t>kenaikan di bulan Juli</a:t>
          </a:r>
          <a:r>
            <a:rPr lang="en-ID"/>
            <a:t> kemungkinan dipicu oleh </a:t>
          </a:r>
          <a:r>
            <a:rPr lang="en-ID" b="1"/>
            <a:t>pergantian semester dan peningkatan kebutuhan rumah tangga</a:t>
          </a:r>
          <a:r>
            <a:rPr lang="en-ID"/>
            <a:t>, terutama untuk </a:t>
          </a:r>
          <a:r>
            <a:rPr lang="en-ID" b="1"/>
            <a:t>produk kebutuhan pokok</a:t>
          </a:r>
          <a:r>
            <a:rPr lang="en-ID"/>
            <a:t>.</a:t>
          </a:r>
        </a:p>
        <a:p>
          <a:r>
            <a:rPr lang="en-ID" b="1"/>
            <a:t>🧴 Top Product Performance</a:t>
          </a:r>
        </a:p>
        <a:p>
          <a:r>
            <a:rPr lang="en-ID"/>
            <a:t>Produk dengan penjualan tertinggi adalah </a:t>
          </a:r>
          <a:r>
            <a:rPr lang="en-ID" b="1"/>
            <a:t>Sabun (Rp3.645.500)</a:t>
          </a:r>
          <a:r>
            <a:rPr lang="en-ID"/>
            <a:t>, diikuti oleh </a:t>
          </a:r>
          <a:r>
            <a:rPr lang="en-ID" b="1"/>
            <a:t>Minyak Goreng</a:t>
          </a:r>
          <a:r>
            <a:rPr lang="en-ID"/>
            <a:t>, yang grafiknya menunjukkan tren naik konsisten — membentuk pola </a:t>
          </a:r>
          <a:r>
            <a:rPr lang="en-ID" i="1"/>
            <a:t>higher low</a:t>
          </a:r>
          <a:r>
            <a:rPr lang="en-ID"/>
            <a:t> dan </a:t>
          </a:r>
          <a:r>
            <a:rPr lang="en-ID" i="1"/>
            <a:t>higher high</a:t>
          </a:r>
          <a:r>
            <a:rPr lang="en-ID"/>
            <a:t>.</a:t>
          </a:r>
        </a:p>
        <a:p>
          <a:r>
            <a:rPr lang="en-ID" b="1"/>
            <a:t>🏙️ Branch Performance</a:t>
          </a:r>
        </a:p>
        <a:p>
          <a:r>
            <a:rPr lang="en-ID" b="1"/>
            <a:t>Kota Jakarta</a:t>
          </a:r>
          <a:r>
            <a:rPr lang="en-ID"/>
            <a:t> memiliki penjualan tertinggi di kisaran </a:t>
          </a:r>
          <a:r>
            <a:rPr lang="en-ID" b="1"/>
            <a:t>Rp6,7 juta</a:t>
          </a:r>
          <a:r>
            <a:rPr lang="en-ID"/>
            <a:t>, sedangkan kota dengan performa terendah masih berada di sekitar </a:t>
          </a:r>
          <a:r>
            <a:rPr lang="en-ID" b="1"/>
            <a:t>Rp1 jutaan</a:t>
          </a:r>
          <a:r>
            <a:rPr lang="en-ID"/>
            <a:t>. Secara umum, semua cabang memiliki performa yang cukup merata di sekitar </a:t>
          </a:r>
          <a:r>
            <a:rPr lang="en-ID" b="1"/>
            <a:t>Rp7 juta-an</a:t>
          </a:r>
          <a:r>
            <a:rPr lang="en-ID"/>
            <a:t>.</a:t>
          </a:r>
        </a:p>
        <a:p>
          <a:r>
            <a:rPr lang="en-ID" b="1"/>
            <a:t>💳 Payment Method</a:t>
          </a:r>
        </a:p>
        <a:p>
          <a:r>
            <a:rPr lang="en-ID"/>
            <a:t>Metode pembayaran yang paling sering digunakan adalah </a:t>
          </a:r>
          <a:r>
            <a:rPr lang="en-ID" b="1"/>
            <a:t>Credit</a:t>
          </a:r>
          <a:r>
            <a:rPr lang="en-ID"/>
            <a:t>, dengan kontribusi terbesar terhadap total revenue.</a:t>
          </a:r>
          <a:br>
            <a:rPr lang="en-ID"/>
          </a:br>
          <a:r>
            <a:rPr lang="en-ID"/>
            <a:t>Namun, perlu diperhatikan bahwa sebagian besar transaksi berada di </a:t>
          </a:r>
          <a:r>
            <a:rPr lang="en-ID" b="1"/>
            <a:t>tahun 2023</a:t>
          </a:r>
          <a:r>
            <a:rPr lang="en-ID"/>
            <a:t>, sementara </a:t>
          </a:r>
          <a:r>
            <a:rPr lang="en-ID" b="1"/>
            <a:t>2024 datanya belum lengkap</a:t>
          </a:r>
          <a:r>
            <a:rPr lang="en-ID"/>
            <a:t>, sehingga analisis lebih lanjut dibutuhkan untuk akurasi.</a:t>
          </a:r>
        </a:p>
        <a:p>
          <a:r>
            <a:rPr lang="en-ID" b="1"/>
            <a:t>💡 Insight &amp; Recommendation</a:t>
          </a:r>
        </a:p>
        <a:p>
          <a:r>
            <a:rPr lang="en-ID"/>
            <a:t>Secara keseluruhan, performa toko tergolong </a:t>
          </a:r>
          <a:r>
            <a:rPr lang="en-ID" b="1"/>
            <a:t>stabil</a:t>
          </a:r>
          <a:r>
            <a:rPr lang="en-ID"/>
            <a:t>, dengan satu lonjakan signifikan di bulan Juli.</a:t>
          </a:r>
          <a:br>
            <a:rPr lang="en-ID"/>
          </a:br>
          <a:r>
            <a:rPr lang="en-ID"/>
            <a:t>Namun, </a:t>
          </a:r>
          <a:r>
            <a:rPr lang="en-ID" b="1"/>
            <a:t>minimnya data tambahan</a:t>
          </a:r>
          <a:r>
            <a:rPr lang="en-ID"/>
            <a:t> seperti promosi, event, atau faktor eksternal membuat penyebab pastinya sulit diidentifikasi.</a:t>
          </a:r>
          <a:br>
            <a:rPr lang="en-ID"/>
          </a:br>
          <a:r>
            <a:rPr lang="en-ID"/>
            <a:t>Langkah yang disarankan:</a:t>
          </a:r>
        </a:p>
        <a:p>
          <a:r>
            <a:rPr lang="en-ID"/>
            <a:t>Fokus pada </a:t>
          </a:r>
          <a:r>
            <a:rPr lang="en-ID" b="1"/>
            <a:t>promosi produk kebutuhan pokok</a:t>
          </a:r>
          <a:r>
            <a:rPr lang="en-ID"/>
            <a:t> (seperti sabun dan minyak goreng).</a:t>
          </a:r>
        </a:p>
        <a:p>
          <a:r>
            <a:rPr lang="en-ID" b="1"/>
            <a:t>Gunakan media visual</a:t>
          </a:r>
          <a:r>
            <a:rPr lang="en-ID"/>
            <a:t> seperti baliho atau kampanye online untuk meningkatkan awareness.</a:t>
          </a:r>
        </a:p>
        <a:p>
          <a:r>
            <a:rPr lang="en-ID" b="1"/>
            <a:t>Perluas jaringan dan mitra distribusi</a:t>
          </a:r>
          <a:r>
            <a:rPr lang="en-ID"/>
            <a:t> agar omset tidak stagnan dan bisa tumbuh secara konsisten setiap bulan.</a:t>
          </a:r>
        </a:p>
        <a:p>
          <a:endParaRPr lang="en-ID"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606558</xdr:colOff>
      <xdr:row>53</xdr:row>
      <xdr:rowOff>0</xdr:rowOff>
    </xdr:to>
    <xdr:sp macro="" textlink="">
      <xdr:nvSpPr>
        <xdr:cNvPr id="13" name="Rectangle 12">
          <a:extLst>
            <a:ext uri="{FF2B5EF4-FFF2-40B4-BE49-F238E27FC236}">
              <a16:creationId xmlns:a16="http://schemas.microsoft.com/office/drawing/2014/main" id="{F26025B6-3C7A-4E47-965F-7BD38F466ADD}"/>
            </a:ext>
          </a:extLst>
        </xdr:cNvPr>
        <xdr:cNvSpPr/>
      </xdr:nvSpPr>
      <xdr:spPr>
        <a:xfrm>
          <a:off x="0" y="0"/>
          <a:ext cx="1825758" cy="10096500"/>
        </a:xfrm>
        <a:prstGeom prst="rect">
          <a:avLst/>
        </a:prstGeom>
        <a:solidFill>
          <a:srgbClr val="0FA3A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487295</xdr:colOff>
      <xdr:row>0</xdr:row>
      <xdr:rowOff>11205</xdr:rowOff>
    </xdr:from>
    <xdr:to>
      <xdr:col>3</xdr:col>
      <xdr:colOff>19369</xdr:colOff>
      <xdr:row>53</xdr:row>
      <xdr:rowOff>0</xdr:rowOff>
    </xdr:to>
    <xdr:sp macro="" textlink="">
      <xdr:nvSpPr>
        <xdr:cNvPr id="14" name="Rectangle 13">
          <a:extLst>
            <a:ext uri="{FF2B5EF4-FFF2-40B4-BE49-F238E27FC236}">
              <a16:creationId xmlns:a16="http://schemas.microsoft.com/office/drawing/2014/main" id="{8B1ABF5D-9C36-47F1-888F-A9A20CB27FE1}"/>
            </a:ext>
          </a:extLst>
        </xdr:cNvPr>
        <xdr:cNvSpPr/>
      </xdr:nvSpPr>
      <xdr:spPr>
        <a:xfrm>
          <a:off x="1706495" y="11205"/>
          <a:ext cx="141674" cy="10085295"/>
        </a:xfrm>
        <a:prstGeom prst="rect">
          <a:avLst/>
        </a:prstGeom>
        <a:gradFill flip="none" rotWithShape="1">
          <a:gsLst>
            <a:gs pos="0">
              <a:srgbClr val="0FA3A3">
                <a:shade val="30000"/>
                <a:satMod val="115000"/>
              </a:srgbClr>
            </a:gs>
            <a:gs pos="50000">
              <a:srgbClr val="0FA3A3">
                <a:shade val="67500"/>
                <a:satMod val="115000"/>
              </a:srgbClr>
            </a:gs>
            <a:gs pos="100000">
              <a:srgbClr val="0FA3A3">
                <a:shade val="100000"/>
                <a:satMod val="115000"/>
              </a:srgbClr>
            </a:gs>
          </a:gsLst>
          <a:lin ang="108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0</xdr:col>
      <xdr:colOff>381350</xdr:colOff>
      <xdr:row>15</xdr:row>
      <xdr:rowOff>88715</xdr:rowOff>
    </xdr:from>
    <xdr:to>
      <xdr:col>2</xdr:col>
      <xdr:colOff>76558</xdr:colOff>
      <xdr:row>20</xdr:row>
      <xdr:rowOff>34230</xdr:rowOff>
    </xdr:to>
    <xdr:pic>
      <xdr:nvPicPr>
        <xdr:cNvPr id="16" name="Picture 15">
          <a:hlinkClick xmlns:r="http://schemas.openxmlformats.org/officeDocument/2006/relationships" r:id="rId1"/>
          <a:extLst>
            <a:ext uri="{FF2B5EF4-FFF2-40B4-BE49-F238E27FC236}">
              <a16:creationId xmlns:a16="http://schemas.microsoft.com/office/drawing/2014/main" id="{3D1F3601-859E-409B-8164-56FC5AD8CB7C}"/>
            </a:ext>
          </a:extLst>
        </xdr:cNvPr>
        <xdr:cNvPicPr>
          <a:picLocks noChangeAspect="1"/>
        </xdr:cNvPicPr>
      </xdr:nvPicPr>
      <xdr:blipFill>
        <a:blip xmlns:r="http://schemas.openxmlformats.org/officeDocument/2006/relationships" r:embed="rId2"/>
        <a:stretch>
          <a:fillRect/>
        </a:stretch>
      </xdr:blipFill>
      <xdr:spPr>
        <a:xfrm>
          <a:off x="381350" y="2946215"/>
          <a:ext cx="914408" cy="898015"/>
        </a:xfrm>
        <a:prstGeom prst="rect">
          <a:avLst/>
        </a:prstGeom>
      </xdr:spPr>
    </xdr:pic>
    <xdr:clientData/>
  </xdr:twoCellAnchor>
  <xdr:twoCellAnchor editAs="oneCell">
    <xdr:from>
      <xdr:col>0</xdr:col>
      <xdr:colOff>389055</xdr:colOff>
      <xdr:row>23</xdr:row>
      <xdr:rowOff>674</xdr:rowOff>
    </xdr:from>
    <xdr:to>
      <xdr:col>2</xdr:col>
      <xdr:colOff>84263</xdr:colOff>
      <xdr:row>27</xdr:row>
      <xdr:rowOff>138674</xdr:rowOff>
    </xdr:to>
    <xdr:pic>
      <xdr:nvPicPr>
        <xdr:cNvPr id="17" name="Picture 16">
          <a:hlinkClick xmlns:r="http://schemas.openxmlformats.org/officeDocument/2006/relationships" r:id="rId3"/>
          <a:extLst>
            <a:ext uri="{FF2B5EF4-FFF2-40B4-BE49-F238E27FC236}">
              <a16:creationId xmlns:a16="http://schemas.microsoft.com/office/drawing/2014/main" id="{E6526C72-57A0-43EE-8008-BA262B888C22}"/>
            </a:ext>
          </a:extLst>
        </xdr:cNvPr>
        <xdr:cNvPicPr>
          <a:picLocks noChangeAspect="1"/>
        </xdr:cNvPicPr>
      </xdr:nvPicPr>
      <xdr:blipFill>
        <a:blip xmlns:r="http://schemas.openxmlformats.org/officeDocument/2006/relationships" r:embed="rId4"/>
        <a:stretch>
          <a:fillRect/>
        </a:stretch>
      </xdr:blipFill>
      <xdr:spPr>
        <a:xfrm rot="16200000">
          <a:off x="396259" y="4374970"/>
          <a:ext cx="900000" cy="914408"/>
        </a:xfrm>
        <a:prstGeom prst="rect">
          <a:avLst/>
        </a:prstGeom>
      </xdr:spPr>
    </xdr:pic>
    <xdr:clientData/>
  </xdr:twoCellAnchor>
  <xdr:twoCellAnchor>
    <xdr:from>
      <xdr:col>0</xdr:col>
      <xdr:colOff>280148</xdr:colOff>
      <xdr:row>19</xdr:row>
      <xdr:rowOff>179294</xdr:rowOff>
    </xdr:from>
    <xdr:to>
      <xdr:col>2</xdr:col>
      <xdr:colOff>240767</xdr:colOff>
      <xdr:row>21</xdr:row>
      <xdr:rowOff>145676</xdr:rowOff>
    </xdr:to>
    <xdr:sp macro="" textlink="">
      <xdr:nvSpPr>
        <xdr:cNvPr id="19" name="TextBox 18">
          <a:hlinkClick xmlns:r="http://schemas.openxmlformats.org/officeDocument/2006/relationships" r:id="rId1"/>
          <a:extLst>
            <a:ext uri="{FF2B5EF4-FFF2-40B4-BE49-F238E27FC236}">
              <a16:creationId xmlns:a16="http://schemas.microsoft.com/office/drawing/2014/main" id="{B896EF7F-70F8-4FBF-89CC-7C382ECE2B85}"/>
            </a:ext>
          </a:extLst>
        </xdr:cNvPr>
        <xdr:cNvSpPr txBox="1"/>
      </xdr:nvSpPr>
      <xdr:spPr>
        <a:xfrm>
          <a:off x="280148" y="3798794"/>
          <a:ext cx="1179819"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Kpi Summary</a:t>
          </a:r>
        </a:p>
      </xdr:txBody>
    </xdr:sp>
    <xdr:clientData/>
  </xdr:twoCellAnchor>
  <xdr:twoCellAnchor>
    <xdr:from>
      <xdr:col>0</xdr:col>
      <xdr:colOff>165687</xdr:colOff>
      <xdr:row>1</xdr:row>
      <xdr:rowOff>85644</xdr:rowOff>
    </xdr:from>
    <xdr:to>
      <xdr:col>2</xdr:col>
      <xdr:colOff>473690</xdr:colOff>
      <xdr:row>7</xdr:row>
      <xdr:rowOff>85644</xdr:rowOff>
    </xdr:to>
    <xdr:sp macro="" textlink="">
      <xdr:nvSpPr>
        <xdr:cNvPr id="20" name="Rectangle 19">
          <a:extLst>
            <a:ext uri="{FF2B5EF4-FFF2-40B4-BE49-F238E27FC236}">
              <a16:creationId xmlns:a16="http://schemas.microsoft.com/office/drawing/2014/main" id="{C3DD1DD9-8BF2-4794-A28F-E2F34685ECE9}"/>
            </a:ext>
          </a:extLst>
        </xdr:cNvPr>
        <xdr:cNvSpPr/>
      </xdr:nvSpPr>
      <xdr:spPr>
        <a:xfrm>
          <a:off x="165687" y="276144"/>
          <a:ext cx="1527203" cy="1143000"/>
        </a:xfrm>
        <a:prstGeom prst="rect">
          <a:avLst/>
        </a:prstGeom>
        <a:gradFill flip="none" rotWithShape="1">
          <a:gsLst>
            <a:gs pos="0">
              <a:srgbClr val="0FA3A3">
                <a:shade val="30000"/>
                <a:satMod val="115000"/>
              </a:srgbClr>
            </a:gs>
            <a:gs pos="50000">
              <a:srgbClr val="0FA3A3">
                <a:shade val="67500"/>
                <a:satMod val="115000"/>
              </a:srgbClr>
            </a:gs>
            <a:gs pos="100000">
              <a:srgbClr val="0FA3A3">
                <a:shade val="100000"/>
                <a:satMod val="115000"/>
              </a:srgb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381000</xdr:colOff>
      <xdr:row>27</xdr:row>
      <xdr:rowOff>78443</xdr:rowOff>
    </xdr:from>
    <xdr:to>
      <xdr:col>2</xdr:col>
      <xdr:colOff>218355</xdr:colOff>
      <xdr:row>29</xdr:row>
      <xdr:rowOff>0</xdr:rowOff>
    </xdr:to>
    <xdr:sp macro="" textlink="">
      <xdr:nvSpPr>
        <xdr:cNvPr id="21" name="TextBox 20">
          <a:hlinkClick xmlns:r="http://schemas.openxmlformats.org/officeDocument/2006/relationships" r:id="rId3"/>
          <a:extLst>
            <a:ext uri="{FF2B5EF4-FFF2-40B4-BE49-F238E27FC236}">
              <a16:creationId xmlns:a16="http://schemas.microsoft.com/office/drawing/2014/main" id="{5DBA3078-21F6-4A47-8CF4-884A5B45D2CF}"/>
            </a:ext>
          </a:extLst>
        </xdr:cNvPr>
        <xdr:cNvSpPr txBox="1"/>
      </xdr:nvSpPr>
      <xdr:spPr>
        <a:xfrm>
          <a:off x="381000" y="5221943"/>
          <a:ext cx="1056555" cy="302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Contact Me</a:t>
          </a:r>
        </a:p>
      </xdr:txBody>
    </xdr:sp>
    <xdr:clientData/>
  </xdr:twoCellAnchor>
  <xdr:twoCellAnchor editAs="oneCell">
    <xdr:from>
      <xdr:col>0</xdr:col>
      <xdr:colOff>379717</xdr:colOff>
      <xdr:row>8</xdr:row>
      <xdr:rowOff>54746</xdr:rowOff>
    </xdr:from>
    <xdr:to>
      <xdr:col>2</xdr:col>
      <xdr:colOff>74925</xdr:colOff>
      <xdr:row>13</xdr:row>
      <xdr:rowOff>2247</xdr:rowOff>
    </xdr:to>
    <xdr:pic>
      <xdr:nvPicPr>
        <xdr:cNvPr id="22" name="Picture 21">
          <a:hlinkClick xmlns:r="http://schemas.openxmlformats.org/officeDocument/2006/relationships" r:id="rId5"/>
          <a:extLst>
            <a:ext uri="{FF2B5EF4-FFF2-40B4-BE49-F238E27FC236}">
              <a16:creationId xmlns:a16="http://schemas.microsoft.com/office/drawing/2014/main" id="{94DACB8B-ED9A-46F0-BBBF-C1F9F48641BE}"/>
            </a:ext>
          </a:extLst>
        </xdr:cNvPr>
        <xdr:cNvPicPr>
          <a:picLocks noChangeAspect="1"/>
        </xdr:cNvPicPr>
      </xdr:nvPicPr>
      <xdr:blipFill>
        <a:blip xmlns:r="http://schemas.openxmlformats.org/officeDocument/2006/relationships" r:embed="rId6"/>
        <a:stretch>
          <a:fillRect/>
        </a:stretch>
      </xdr:blipFill>
      <xdr:spPr>
        <a:xfrm>
          <a:off x="379717" y="1578746"/>
          <a:ext cx="914408" cy="900001"/>
        </a:xfrm>
        <a:prstGeom prst="rect">
          <a:avLst/>
        </a:prstGeom>
      </xdr:spPr>
    </xdr:pic>
    <xdr:clientData/>
  </xdr:twoCellAnchor>
  <xdr:twoCellAnchor>
    <xdr:from>
      <xdr:col>0</xdr:col>
      <xdr:colOff>358589</xdr:colOff>
      <xdr:row>12</xdr:row>
      <xdr:rowOff>67235</xdr:rowOff>
    </xdr:from>
    <xdr:to>
      <xdr:col>2</xdr:col>
      <xdr:colOff>162326</xdr:colOff>
      <xdr:row>14</xdr:row>
      <xdr:rowOff>11206</xdr:rowOff>
    </xdr:to>
    <xdr:sp macro="" textlink="">
      <xdr:nvSpPr>
        <xdr:cNvPr id="23" name="TextBox 22">
          <a:hlinkClick xmlns:r="http://schemas.openxmlformats.org/officeDocument/2006/relationships" r:id="rId5"/>
          <a:extLst>
            <a:ext uri="{FF2B5EF4-FFF2-40B4-BE49-F238E27FC236}">
              <a16:creationId xmlns:a16="http://schemas.microsoft.com/office/drawing/2014/main" id="{3D3679D2-671D-40C3-884A-724C4EEE5AD8}"/>
            </a:ext>
          </a:extLst>
        </xdr:cNvPr>
        <xdr:cNvSpPr txBox="1"/>
      </xdr:nvSpPr>
      <xdr:spPr>
        <a:xfrm>
          <a:off x="358589" y="2353235"/>
          <a:ext cx="1022937" cy="32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Dashboard</a:t>
          </a:r>
        </a:p>
      </xdr:txBody>
    </xdr:sp>
    <xdr:clientData/>
  </xdr:twoCellAnchor>
  <xdr:twoCellAnchor editAs="oneCell">
    <xdr:from>
      <xdr:col>0</xdr:col>
      <xdr:colOff>367575</xdr:colOff>
      <xdr:row>1</xdr:row>
      <xdr:rowOff>89647</xdr:rowOff>
    </xdr:from>
    <xdr:to>
      <xdr:col>2</xdr:col>
      <xdr:colOff>62783</xdr:colOff>
      <xdr:row>6</xdr:row>
      <xdr:rowOff>37147</xdr:rowOff>
    </xdr:to>
    <xdr:pic>
      <xdr:nvPicPr>
        <xdr:cNvPr id="15" name="Picture 14">
          <a:hlinkClick xmlns:r="http://schemas.openxmlformats.org/officeDocument/2006/relationships" r:id="rId7"/>
          <a:extLst>
            <a:ext uri="{FF2B5EF4-FFF2-40B4-BE49-F238E27FC236}">
              <a16:creationId xmlns:a16="http://schemas.microsoft.com/office/drawing/2014/main" id="{179026EB-D03C-47BC-8B4A-81BFCCAAF887}"/>
            </a:ext>
          </a:extLst>
        </xdr:cNvPr>
        <xdr:cNvPicPr>
          <a:picLocks noChangeAspect="1"/>
        </xdr:cNvPicPr>
      </xdr:nvPicPr>
      <xdr:blipFill>
        <a:blip xmlns:r="http://schemas.openxmlformats.org/officeDocument/2006/relationships" r:embed="rId8"/>
        <a:stretch>
          <a:fillRect/>
        </a:stretch>
      </xdr:blipFill>
      <xdr:spPr>
        <a:xfrm>
          <a:off x="367575" y="280147"/>
          <a:ext cx="914408" cy="900000"/>
        </a:xfrm>
        <a:prstGeom prst="rect">
          <a:avLst/>
        </a:prstGeom>
      </xdr:spPr>
    </xdr:pic>
    <xdr:clientData/>
  </xdr:twoCellAnchor>
  <xdr:twoCellAnchor>
    <xdr:from>
      <xdr:col>0</xdr:col>
      <xdr:colOff>332813</xdr:colOff>
      <xdr:row>5</xdr:row>
      <xdr:rowOff>131108</xdr:rowOff>
    </xdr:from>
    <xdr:to>
      <xdr:col>2</xdr:col>
      <xdr:colOff>128708</xdr:colOff>
      <xdr:row>7</xdr:row>
      <xdr:rowOff>67235</xdr:rowOff>
    </xdr:to>
    <xdr:sp macro="" textlink="">
      <xdr:nvSpPr>
        <xdr:cNvPr id="18" name="TextBox 17">
          <a:hlinkClick xmlns:r="http://schemas.openxmlformats.org/officeDocument/2006/relationships" r:id="rId7"/>
          <a:extLst>
            <a:ext uri="{FF2B5EF4-FFF2-40B4-BE49-F238E27FC236}">
              <a16:creationId xmlns:a16="http://schemas.microsoft.com/office/drawing/2014/main" id="{23F9FA7C-3C77-4F49-8BAB-AF6D49D9C189}"/>
            </a:ext>
          </a:extLst>
        </xdr:cNvPr>
        <xdr:cNvSpPr txBox="1"/>
      </xdr:nvSpPr>
      <xdr:spPr>
        <a:xfrm>
          <a:off x="332813" y="1083608"/>
          <a:ext cx="1015095" cy="317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About Data</a:t>
          </a:r>
        </a:p>
      </xdr:txBody>
    </xdr:sp>
    <xdr:clientData/>
  </xdr:twoCellAnchor>
  <xdr:twoCellAnchor>
    <xdr:from>
      <xdr:col>11</xdr:col>
      <xdr:colOff>152400</xdr:colOff>
      <xdr:row>1</xdr:row>
      <xdr:rowOff>25400</xdr:rowOff>
    </xdr:from>
    <xdr:to>
      <xdr:col>18</xdr:col>
      <xdr:colOff>165100</xdr:colOff>
      <xdr:row>5</xdr:row>
      <xdr:rowOff>101600</xdr:rowOff>
    </xdr:to>
    <xdr:sp macro="" textlink="">
      <xdr:nvSpPr>
        <xdr:cNvPr id="58" name="Rectangle 57">
          <a:extLst>
            <a:ext uri="{FF2B5EF4-FFF2-40B4-BE49-F238E27FC236}">
              <a16:creationId xmlns:a16="http://schemas.microsoft.com/office/drawing/2014/main" id="{DCDCB711-C772-41B2-A75D-C751353206E1}"/>
            </a:ext>
          </a:extLst>
        </xdr:cNvPr>
        <xdr:cNvSpPr/>
      </xdr:nvSpPr>
      <xdr:spPr>
        <a:xfrm>
          <a:off x="6858000" y="215900"/>
          <a:ext cx="4279900" cy="838200"/>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254000</xdr:colOff>
      <xdr:row>1</xdr:row>
      <xdr:rowOff>139700</xdr:rowOff>
    </xdr:from>
    <xdr:to>
      <xdr:col>18</xdr:col>
      <xdr:colOff>215900</xdr:colOff>
      <xdr:row>6</xdr:row>
      <xdr:rowOff>25400</xdr:rowOff>
    </xdr:to>
    <xdr:sp macro="" textlink="">
      <xdr:nvSpPr>
        <xdr:cNvPr id="59" name="Rectangle 58">
          <a:extLst>
            <a:ext uri="{FF2B5EF4-FFF2-40B4-BE49-F238E27FC236}">
              <a16:creationId xmlns:a16="http://schemas.microsoft.com/office/drawing/2014/main" id="{AF7DBC32-597F-4EAF-99BE-56AB786EAF50}"/>
            </a:ext>
          </a:extLst>
        </xdr:cNvPr>
        <xdr:cNvSpPr/>
      </xdr:nvSpPr>
      <xdr:spPr>
        <a:xfrm>
          <a:off x="6959600" y="330200"/>
          <a:ext cx="4229100" cy="838200"/>
        </a:xfrm>
        <a:prstGeom prst="rect">
          <a:avLst/>
        </a:prstGeom>
        <a:solidFill>
          <a:srgbClr val="33CCCC"/>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584200</xdr:colOff>
      <xdr:row>7</xdr:row>
      <xdr:rowOff>63500</xdr:rowOff>
    </xdr:from>
    <xdr:to>
      <xdr:col>17</xdr:col>
      <xdr:colOff>368300</xdr:colOff>
      <xdr:row>14</xdr:row>
      <xdr:rowOff>152400</xdr:rowOff>
    </xdr:to>
    <xdr:sp macro="" textlink="">
      <xdr:nvSpPr>
        <xdr:cNvPr id="60" name="Rectangle 59">
          <a:extLst>
            <a:ext uri="{FF2B5EF4-FFF2-40B4-BE49-F238E27FC236}">
              <a16:creationId xmlns:a16="http://schemas.microsoft.com/office/drawing/2014/main" id="{CCDEADF7-D9CC-4B66-A91D-59699D9853B9}"/>
            </a:ext>
          </a:extLst>
        </xdr:cNvPr>
        <xdr:cNvSpPr/>
      </xdr:nvSpPr>
      <xdr:spPr>
        <a:xfrm>
          <a:off x="7289800" y="1397000"/>
          <a:ext cx="3441700" cy="1422400"/>
        </a:xfrm>
        <a:prstGeom prst="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12</xdr:col>
      <xdr:colOff>177800</xdr:colOff>
      <xdr:row>10</xdr:row>
      <xdr:rowOff>139700</xdr:rowOff>
    </xdr:from>
    <xdr:to>
      <xdr:col>17</xdr:col>
      <xdr:colOff>571500</xdr:colOff>
      <xdr:row>17</xdr:row>
      <xdr:rowOff>127000</xdr:rowOff>
    </xdr:to>
    <xdr:sp macro="" textlink="">
      <xdr:nvSpPr>
        <xdr:cNvPr id="61" name="Rectangle 60">
          <a:extLst>
            <a:ext uri="{FF2B5EF4-FFF2-40B4-BE49-F238E27FC236}">
              <a16:creationId xmlns:a16="http://schemas.microsoft.com/office/drawing/2014/main" id="{2D6C7F91-B84C-45C4-B0AA-535C6B48827F}"/>
            </a:ext>
          </a:extLst>
        </xdr:cNvPr>
        <xdr:cNvSpPr/>
      </xdr:nvSpPr>
      <xdr:spPr>
        <a:xfrm>
          <a:off x="7493000" y="2044700"/>
          <a:ext cx="3441700" cy="1320800"/>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18</xdr:col>
      <xdr:colOff>482600</xdr:colOff>
      <xdr:row>7</xdr:row>
      <xdr:rowOff>101600</xdr:rowOff>
    </xdr:from>
    <xdr:to>
      <xdr:col>24</xdr:col>
      <xdr:colOff>266700</xdr:colOff>
      <xdr:row>15</xdr:row>
      <xdr:rowOff>0</xdr:rowOff>
    </xdr:to>
    <xdr:sp macro="" textlink="">
      <xdr:nvSpPr>
        <xdr:cNvPr id="62" name="Rectangle 61">
          <a:extLst>
            <a:ext uri="{FF2B5EF4-FFF2-40B4-BE49-F238E27FC236}">
              <a16:creationId xmlns:a16="http://schemas.microsoft.com/office/drawing/2014/main" id="{477B6B92-C911-4ACB-992D-5C7955C9E276}"/>
            </a:ext>
          </a:extLst>
        </xdr:cNvPr>
        <xdr:cNvSpPr/>
      </xdr:nvSpPr>
      <xdr:spPr>
        <a:xfrm>
          <a:off x="11455400" y="1435100"/>
          <a:ext cx="3441700" cy="1422400"/>
        </a:xfrm>
        <a:prstGeom prst="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19</xdr:col>
      <xdr:colOff>114300</xdr:colOff>
      <xdr:row>11</xdr:row>
      <xdr:rowOff>12700</xdr:rowOff>
    </xdr:from>
    <xdr:to>
      <xdr:col>24</xdr:col>
      <xdr:colOff>508000</xdr:colOff>
      <xdr:row>18</xdr:row>
      <xdr:rowOff>0</xdr:rowOff>
    </xdr:to>
    <xdr:sp macro="" textlink="">
      <xdr:nvSpPr>
        <xdr:cNvPr id="63" name="Rectangle 62">
          <a:extLst>
            <a:ext uri="{FF2B5EF4-FFF2-40B4-BE49-F238E27FC236}">
              <a16:creationId xmlns:a16="http://schemas.microsoft.com/office/drawing/2014/main" id="{9B7D00CF-1F1D-49B1-BAC6-D2FFC2E957F7}"/>
            </a:ext>
          </a:extLst>
        </xdr:cNvPr>
        <xdr:cNvSpPr/>
      </xdr:nvSpPr>
      <xdr:spPr>
        <a:xfrm>
          <a:off x="11696700" y="2108200"/>
          <a:ext cx="3441700" cy="1320800"/>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88900</xdr:colOff>
      <xdr:row>7</xdr:row>
      <xdr:rowOff>76200</xdr:rowOff>
    </xdr:from>
    <xdr:to>
      <xdr:col>10</xdr:col>
      <xdr:colOff>482600</xdr:colOff>
      <xdr:row>16</xdr:row>
      <xdr:rowOff>25400</xdr:rowOff>
    </xdr:to>
    <xdr:sp macro="" textlink="">
      <xdr:nvSpPr>
        <xdr:cNvPr id="64" name="Rectangle 63">
          <a:extLst>
            <a:ext uri="{FF2B5EF4-FFF2-40B4-BE49-F238E27FC236}">
              <a16:creationId xmlns:a16="http://schemas.microsoft.com/office/drawing/2014/main" id="{7B10A195-FFBF-4E25-9367-BCD332FD5157}"/>
            </a:ext>
          </a:extLst>
        </xdr:cNvPr>
        <xdr:cNvSpPr/>
      </xdr:nvSpPr>
      <xdr:spPr>
        <a:xfrm>
          <a:off x="3136900" y="1409700"/>
          <a:ext cx="3441700" cy="1663700"/>
        </a:xfrm>
        <a:prstGeom prst="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317500</xdr:colOff>
      <xdr:row>10</xdr:row>
      <xdr:rowOff>127000</xdr:rowOff>
    </xdr:from>
    <xdr:to>
      <xdr:col>11</xdr:col>
      <xdr:colOff>101600</xdr:colOff>
      <xdr:row>17</xdr:row>
      <xdr:rowOff>114300</xdr:rowOff>
    </xdr:to>
    <xdr:sp macro="" textlink="">
      <xdr:nvSpPr>
        <xdr:cNvPr id="65" name="Rectangle 64">
          <a:extLst>
            <a:ext uri="{FF2B5EF4-FFF2-40B4-BE49-F238E27FC236}">
              <a16:creationId xmlns:a16="http://schemas.microsoft.com/office/drawing/2014/main" id="{A13C0EF9-BCC4-4DD6-83FF-30FFACFEC84C}"/>
            </a:ext>
          </a:extLst>
        </xdr:cNvPr>
        <xdr:cNvSpPr/>
      </xdr:nvSpPr>
      <xdr:spPr>
        <a:xfrm>
          <a:off x="3365500" y="2032000"/>
          <a:ext cx="3441700" cy="1320800"/>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101600</xdr:colOff>
      <xdr:row>19</xdr:row>
      <xdr:rowOff>12700</xdr:rowOff>
    </xdr:from>
    <xdr:to>
      <xdr:col>10</xdr:col>
      <xdr:colOff>495300</xdr:colOff>
      <xdr:row>26</xdr:row>
      <xdr:rowOff>0</xdr:rowOff>
    </xdr:to>
    <xdr:sp macro="" textlink="">
      <xdr:nvSpPr>
        <xdr:cNvPr id="66" name="Rectangle 65">
          <a:extLst>
            <a:ext uri="{FF2B5EF4-FFF2-40B4-BE49-F238E27FC236}">
              <a16:creationId xmlns:a16="http://schemas.microsoft.com/office/drawing/2014/main" id="{091C196C-5248-4518-BFE6-923252EFE7AF}"/>
            </a:ext>
          </a:extLst>
        </xdr:cNvPr>
        <xdr:cNvSpPr/>
      </xdr:nvSpPr>
      <xdr:spPr>
        <a:xfrm>
          <a:off x="3149600" y="3632200"/>
          <a:ext cx="3441700" cy="1320800"/>
        </a:xfrm>
        <a:prstGeom prst="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355600</xdr:colOff>
      <xdr:row>22</xdr:row>
      <xdr:rowOff>12700</xdr:rowOff>
    </xdr:from>
    <xdr:to>
      <xdr:col>11</xdr:col>
      <xdr:colOff>139700</xdr:colOff>
      <xdr:row>29</xdr:row>
      <xdr:rowOff>0</xdr:rowOff>
    </xdr:to>
    <xdr:sp macro="" textlink="">
      <xdr:nvSpPr>
        <xdr:cNvPr id="67" name="Rectangle 66">
          <a:extLst>
            <a:ext uri="{FF2B5EF4-FFF2-40B4-BE49-F238E27FC236}">
              <a16:creationId xmlns:a16="http://schemas.microsoft.com/office/drawing/2014/main" id="{65B87E10-7A20-4DA1-B1A7-0FB4B1E59466}"/>
            </a:ext>
          </a:extLst>
        </xdr:cNvPr>
        <xdr:cNvSpPr/>
      </xdr:nvSpPr>
      <xdr:spPr>
        <a:xfrm>
          <a:off x="3403600" y="4203700"/>
          <a:ext cx="3441700" cy="1320800"/>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12</xdr:col>
      <xdr:colOff>12700</xdr:colOff>
      <xdr:row>19</xdr:row>
      <xdr:rowOff>25400</xdr:rowOff>
    </xdr:from>
    <xdr:to>
      <xdr:col>17</xdr:col>
      <xdr:colOff>406400</xdr:colOff>
      <xdr:row>26</xdr:row>
      <xdr:rowOff>12700</xdr:rowOff>
    </xdr:to>
    <xdr:sp macro="" textlink="">
      <xdr:nvSpPr>
        <xdr:cNvPr id="68" name="Rectangle 67">
          <a:extLst>
            <a:ext uri="{FF2B5EF4-FFF2-40B4-BE49-F238E27FC236}">
              <a16:creationId xmlns:a16="http://schemas.microsoft.com/office/drawing/2014/main" id="{DEB5CBFF-007F-412E-8AA3-6459B85401A1}"/>
            </a:ext>
          </a:extLst>
        </xdr:cNvPr>
        <xdr:cNvSpPr/>
      </xdr:nvSpPr>
      <xdr:spPr>
        <a:xfrm>
          <a:off x="7327900" y="3644900"/>
          <a:ext cx="3441700" cy="1320800"/>
        </a:xfrm>
        <a:prstGeom prst="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12</xdr:col>
      <xdr:colOff>266700</xdr:colOff>
      <xdr:row>22</xdr:row>
      <xdr:rowOff>25400</xdr:rowOff>
    </xdr:from>
    <xdr:to>
      <xdr:col>18</xdr:col>
      <xdr:colOff>50800</xdr:colOff>
      <xdr:row>29</xdr:row>
      <xdr:rowOff>12700</xdr:rowOff>
    </xdr:to>
    <xdr:sp macro="" textlink="">
      <xdr:nvSpPr>
        <xdr:cNvPr id="69" name="Rectangle 68">
          <a:extLst>
            <a:ext uri="{FF2B5EF4-FFF2-40B4-BE49-F238E27FC236}">
              <a16:creationId xmlns:a16="http://schemas.microsoft.com/office/drawing/2014/main" id="{753BA05B-4780-4D98-AFF6-51B6461A552B}"/>
            </a:ext>
          </a:extLst>
        </xdr:cNvPr>
        <xdr:cNvSpPr/>
      </xdr:nvSpPr>
      <xdr:spPr>
        <a:xfrm>
          <a:off x="7581900" y="4216400"/>
          <a:ext cx="3441700" cy="1320800"/>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0</xdr:colOff>
      <xdr:row>10</xdr:row>
      <xdr:rowOff>0</xdr:rowOff>
    </xdr:from>
    <xdr:to>
      <xdr:col>8</xdr:col>
      <xdr:colOff>469900</xdr:colOff>
      <xdr:row>10</xdr:row>
      <xdr:rowOff>0</xdr:rowOff>
    </xdr:to>
    <xdr:cxnSp macro="">
      <xdr:nvCxnSpPr>
        <xdr:cNvPr id="70" name="Straight Connector 69">
          <a:extLst>
            <a:ext uri="{FF2B5EF4-FFF2-40B4-BE49-F238E27FC236}">
              <a16:creationId xmlns:a16="http://schemas.microsoft.com/office/drawing/2014/main" id="{54868F94-13B8-428C-9C7F-6A2CA9D91044}"/>
            </a:ext>
          </a:extLst>
        </xdr:cNvPr>
        <xdr:cNvCxnSpPr/>
      </xdr:nvCxnSpPr>
      <xdr:spPr>
        <a:xfrm>
          <a:off x="3657600" y="1905000"/>
          <a:ext cx="1689100" cy="0"/>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254000</xdr:colOff>
      <xdr:row>10</xdr:row>
      <xdr:rowOff>12700</xdr:rowOff>
    </xdr:from>
    <xdr:to>
      <xdr:col>15</xdr:col>
      <xdr:colOff>114300</xdr:colOff>
      <xdr:row>10</xdr:row>
      <xdr:rowOff>12700</xdr:rowOff>
    </xdr:to>
    <xdr:cxnSp macro="">
      <xdr:nvCxnSpPr>
        <xdr:cNvPr id="71" name="Straight Connector 70">
          <a:extLst>
            <a:ext uri="{FF2B5EF4-FFF2-40B4-BE49-F238E27FC236}">
              <a16:creationId xmlns:a16="http://schemas.microsoft.com/office/drawing/2014/main" id="{B73C9017-6853-40DC-B95F-60ABA8784153}"/>
            </a:ext>
          </a:extLst>
        </xdr:cNvPr>
        <xdr:cNvCxnSpPr/>
      </xdr:nvCxnSpPr>
      <xdr:spPr>
        <a:xfrm>
          <a:off x="7569200" y="1917700"/>
          <a:ext cx="1689100" cy="0"/>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431800</xdr:colOff>
      <xdr:row>21</xdr:row>
      <xdr:rowOff>38100</xdr:rowOff>
    </xdr:from>
    <xdr:to>
      <xdr:col>8</xdr:col>
      <xdr:colOff>292100</xdr:colOff>
      <xdr:row>21</xdr:row>
      <xdr:rowOff>38100</xdr:rowOff>
    </xdr:to>
    <xdr:cxnSp macro="">
      <xdr:nvCxnSpPr>
        <xdr:cNvPr id="72" name="Straight Connector 71">
          <a:extLst>
            <a:ext uri="{FF2B5EF4-FFF2-40B4-BE49-F238E27FC236}">
              <a16:creationId xmlns:a16="http://schemas.microsoft.com/office/drawing/2014/main" id="{BBBAD45C-1A46-4B74-904B-5EB95D6FFCDA}"/>
            </a:ext>
          </a:extLst>
        </xdr:cNvPr>
        <xdr:cNvCxnSpPr/>
      </xdr:nvCxnSpPr>
      <xdr:spPr>
        <a:xfrm>
          <a:off x="3479800" y="4038600"/>
          <a:ext cx="1689100" cy="0"/>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330200</xdr:colOff>
      <xdr:row>21</xdr:row>
      <xdr:rowOff>63500</xdr:rowOff>
    </xdr:from>
    <xdr:to>
      <xdr:col>15</xdr:col>
      <xdr:colOff>190500</xdr:colOff>
      <xdr:row>21</xdr:row>
      <xdr:rowOff>63500</xdr:rowOff>
    </xdr:to>
    <xdr:cxnSp macro="">
      <xdr:nvCxnSpPr>
        <xdr:cNvPr id="73" name="Straight Connector 72">
          <a:extLst>
            <a:ext uri="{FF2B5EF4-FFF2-40B4-BE49-F238E27FC236}">
              <a16:creationId xmlns:a16="http://schemas.microsoft.com/office/drawing/2014/main" id="{78FE9E78-BA79-43D1-9500-3E81E5125F11}"/>
            </a:ext>
          </a:extLst>
        </xdr:cNvPr>
        <xdr:cNvCxnSpPr/>
      </xdr:nvCxnSpPr>
      <xdr:spPr>
        <a:xfrm>
          <a:off x="7645400" y="4064000"/>
          <a:ext cx="1689100" cy="0"/>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114300</xdr:colOff>
      <xdr:row>10</xdr:row>
      <xdr:rowOff>76200</xdr:rowOff>
    </xdr:from>
    <xdr:to>
      <xdr:col>21</xdr:col>
      <xdr:colOff>584200</xdr:colOff>
      <xdr:row>10</xdr:row>
      <xdr:rowOff>76200</xdr:rowOff>
    </xdr:to>
    <xdr:cxnSp macro="">
      <xdr:nvCxnSpPr>
        <xdr:cNvPr id="74" name="Straight Connector 73">
          <a:extLst>
            <a:ext uri="{FF2B5EF4-FFF2-40B4-BE49-F238E27FC236}">
              <a16:creationId xmlns:a16="http://schemas.microsoft.com/office/drawing/2014/main" id="{D4ED7F21-32F4-4613-AE69-F846B099AAB8}"/>
            </a:ext>
          </a:extLst>
        </xdr:cNvPr>
        <xdr:cNvCxnSpPr/>
      </xdr:nvCxnSpPr>
      <xdr:spPr>
        <a:xfrm>
          <a:off x="11696700" y="1981200"/>
          <a:ext cx="1689100" cy="0"/>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406400</xdr:colOff>
      <xdr:row>1</xdr:row>
      <xdr:rowOff>152400</xdr:rowOff>
    </xdr:from>
    <xdr:to>
      <xdr:col>18</xdr:col>
      <xdr:colOff>50800</xdr:colOff>
      <xdr:row>5</xdr:row>
      <xdr:rowOff>12700</xdr:rowOff>
    </xdr:to>
    <xdr:sp macro="" textlink="">
      <xdr:nvSpPr>
        <xdr:cNvPr id="2" name="TextBox 1">
          <a:extLst>
            <a:ext uri="{FF2B5EF4-FFF2-40B4-BE49-F238E27FC236}">
              <a16:creationId xmlns:a16="http://schemas.microsoft.com/office/drawing/2014/main" id="{C32E9C34-67E6-4138-BE97-EF689035F785}"/>
            </a:ext>
          </a:extLst>
        </xdr:cNvPr>
        <xdr:cNvSpPr txBox="1"/>
      </xdr:nvSpPr>
      <xdr:spPr>
        <a:xfrm>
          <a:off x="7112000" y="342900"/>
          <a:ext cx="3911600" cy="62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3700" b="1">
              <a:solidFill>
                <a:schemeClr val="bg1"/>
              </a:solidFill>
              <a:latin typeface="Poppins" panose="00000500000000000000" pitchFamily="2" charset="0"/>
              <a:cs typeface="Poppins" panose="00000500000000000000" pitchFamily="2" charset="0"/>
            </a:rPr>
            <a:t>About The Data</a:t>
          </a:r>
        </a:p>
      </xdr:txBody>
    </xdr:sp>
    <xdr:clientData/>
  </xdr:twoCellAnchor>
  <xdr:twoCellAnchor>
    <xdr:from>
      <xdr:col>5</xdr:col>
      <xdr:colOff>330200</xdr:colOff>
      <xdr:row>7</xdr:row>
      <xdr:rowOff>101600</xdr:rowOff>
    </xdr:from>
    <xdr:to>
      <xdr:col>9</xdr:col>
      <xdr:colOff>25400</xdr:colOff>
      <xdr:row>10</xdr:row>
      <xdr:rowOff>76200</xdr:rowOff>
    </xdr:to>
    <xdr:sp macro="" textlink="">
      <xdr:nvSpPr>
        <xdr:cNvPr id="75" name="TextBox 74">
          <a:extLst>
            <a:ext uri="{FF2B5EF4-FFF2-40B4-BE49-F238E27FC236}">
              <a16:creationId xmlns:a16="http://schemas.microsoft.com/office/drawing/2014/main" id="{971C96A0-0D08-45A1-9EB1-825286F85CF6}"/>
            </a:ext>
          </a:extLst>
        </xdr:cNvPr>
        <xdr:cNvSpPr txBox="1"/>
      </xdr:nvSpPr>
      <xdr:spPr>
        <a:xfrm>
          <a:off x="3378200" y="1435100"/>
          <a:ext cx="21336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000">
              <a:solidFill>
                <a:srgbClr val="0FA3A3"/>
              </a:solidFill>
              <a:latin typeface="Poppins" panose="00000500000000000000" pitchFamily="2" charset="0"/>
              <a:cs typeface="Poppins" panose="00000500000000000000" pitchFamily="2" charset="0"/>
            </a:rPr>
            <a:t>Sumber data</a:t>
          </a:r>
          <a:endParaRPr lang="en-ID" sz="2000" b="1">
            <a:solidFill>
              <a:srgbClr val="0FA3A3"/>
            </a:solidFill>
            <a:latin typeface="Poppins" panose="00000500000000000000" pitchFamily="2" charset="0"/>
            <a:cs typeface="Poppins" panose="00000500000000000000" pitchFamily="2" charset="0"/>
          </a:endParaRPr>
        </a:p>
      </xdr:txBody>
    </xdr:sp>
    <xdr:clientData/>
  </xdr:twoCellAnchor>
  <xdr:twoCellAnchor>
    <xdr:from>
      <xdr:col>5</xdr:col>
      <xdr:colOff>330200</xdr:colOff>
      <xdr:row>10</xdr:row>
      <xdr:rowOff>139700</xdr:rowOff>
    </xdr:from>
    <xdr:to>
      <xdr:col>11</xdr:col>
      <xdr:colOff>76200</xdr:colOff>
      <xdr:row>17</xdr:row>
      <xdr:rowOff>101600</xdr:rowOff>
    </xdr:to>
    <xdr:sp macro="" textlink="">
      <xdr:nvSpPr>
        <xdr:cNvPr id="76" name="TextBox 75">
          <a:extLst>
            <a:ext uri="{FF2B5EF4-FFF2-40B4-BE49-F238E27FC236}">
              <a16:creationId xmlns:a16="http://schemas.microsoft.com/office/drawing/2014/main" id="{ECB448FF-DB36-4CF0-8BD5-C1581234DC1B}"/>
            </a:ext>
          </a:extLst>
        </xdr:cNvPr>
        <xdr:cNvSpPr txBox="1"/>
      </xdr:nvSpPr>
      <xdr:spPr>
        <a:xfrm>
          <a:off x="3378200" y="2044700"/>
          <a:ext cx="34036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a:solidFill>
                <a:schemeClr val="bg1"/>
              </a:solidFill>
              <a:latin typeface="Poppins" panose="00000500000000000000" pitchFamily="2" charset="0"/>
              <a:cs typeface="Poppins" panose="00000500000000000000" pitchFamily="2" charset="0"/>
            </a:rPr>
            <a:t>Data transaksi toko retail tahun 2023–2024</a:t>
          </a:r>
          <a:endParaRPr lang="en-ID" sz="2000" b="1">
            <a:solidFill>
              <a:schemeClr val="bg1"/>
            </a:solidFill>
            <a:latin typeface="Poppins" panose="00000500000000000000" pitchFamily="2" charset="0"/>
            <a:cs typeface="Poppins" panose="00000500000000000000" pitchFamily="2" charset="0"/>
          </a:endParaRPr>
        </a:p>
      </xdr:txBody>
    </xdr:sp>
    <xdr:clientData/>
  </xdr:twoCellAnchor>
  <xdr:twoCellAnchor>
    <xdr:from>
      <xdr:col>12</xdr:col>
      <xdr:colOff>190500</xdr:colOff>
      <xdr:row>7</xdr:row>
      <xdr:rowOff>127000</xdr:rowOff>
    </xdr:from>
    <xdr:to>
      <xdr:col>15</xdr:col>
      <xdr:colOff>495300</xdr:colOff>
      <xdr:row>10</xdr:row>
      <xdr:rowOff>101600</xdr:rowOff>
    </xdr:to>
    <xdr:sp macro="" textlink="">
      <xdr:nvSpPr>
        <xdr:cNvPr id="35" name="TextBox 34">
          <a:extLst>
            <a:ext uri="{FF2B5EF4-FFF2-40B4-BE49-F238E27FC236}">
              <a16:creationId xmlns:a16="http://schemas.microsoft.com/office/drawing/2014/main" id="{19247BAF-C392-4DD5-BE75-2E4228275CA0}"/>
            </a:ext>
          </a:extLst>
        </xdr:cNvPr>
        <xdr:cNvSpPr txBox="1"/>
      </xdr:nvSpPr>
      <xdr:spPr>
        <a:xfrm>
          <a:off x="7505700" y="1460500"/>
          <a:ext cx="21336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000" b="0">
              <a:solidFill>
                <a:srgbClr val="0FA3A3"/>
              </a:solidFill>
              <a:latin typeface="Poppins" panose="00000500000000000000" pitchFamily="2" charset="0"/>
              <a:cs typeface="Poppins" panose="00000500000000000000" pitchFamily="2" charset="0"/>
            </a:rPr>
            <a:t>Jumlah</a:t>
          </a:r>
          <a:r>
            <a:rPr lang="en-ID" sz="2000" b="0" baseline="0">
              <a:solidFill>
                <a:srgbClr val="0FA3A3"/>
              </a:solidFill>
              <a:latin typeface="Poppins" panose="00000500000000000000" pitchFamily="2" charset="0"/>
              <a:cs typeface="Poppins" panose="00000500000000000000" pitchFamily="2" charset="0"/>
            </a:rPr>
            <a:t> data</a:t>
          </a:r>
          <a:endParaRPr lang="en-ID" sz="2000" b="1">
            <a:solidFill>
              <a:srgbClr val="0FA3A3"/>
            </a:solidFill>
            <a:latin typeface="Poppins" panose="00000500000000000000" pitchFamily="2" charset="0"/>
            <a:cs typeface="Poppins" panose="00000500000000000000" pitchFamily="2" charset="0"/>
          </a:endParaRPr>
        </a:p>
      </xdr:txBody>
    </xdr:sp>
    <xdr:clientData/>
  </xdr:twoCellAnchor>
  <xdr:twoCellAnchor>
    <xdr:from>
      <xdr:col>12</xdr:col>
      <xdr:colOff>190500</xdr:colOff>
      <xdr:row>10</xdr:row>
      <xdr:rowOff>165100</xdr:rowOff>
    </xdr:from>
    <xdr:to>
      <xdr:col>17</xdr:col>
      <xdr:colOff>546100</xdr:colOff>
      <xdr:row>17</xdr:row>
      <xdr:rowOff>127000</xdr:rowOff>
    </xdr:to>
    <xdr:sp macro="" textlink="">
      <xdr:nvSpPr>
        <xdr:cNvPr id="36" name="TextBox 35">
          <a:extLst>
            <a:ext uri="{FF2B5EF4-FFF2-40B4-BE49-F238E27FC236}">
              <a16:creationId xmlns:a16="http://schemas.microsoft.com/office/drawing/2014/main" id="{AAED4F0A-0365-46B6-BCB7-49A189E2EA27}"/>
            </a:ext>
          </a:extLst>
        </xdr:cNvPr>
        <xdr:cNvSpPr txBox="1"/>
      </xdr:nvSpPr>
      <xdr:spPr>
        <a:xfrm>
          <a:off x="7505700" y="2070100"/>
          <a:ext cx="34036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a:solidFill>
                <a:schemeClr val="bg1"/>
              </a:solidFill>
              <a:latin typeface="Poppins" panose="00000500000000000000" pitchFamily="2" charset="0"/>
              <a:cs typeface="Poppins" panose="00000500000000000000" pitchFamily="2" charset="0"/>
            </a:rPr>
            <a:t>Total 991 Transaksi</a:t>
          </a:r>
          <a:endParaRPr lang="en-ID" sz="2000" b="1">
            <a:solidFill>
              <a:schemeClr val="bg1"/>
            </a:solidFill>
            <a:latin typeface="Poppins" panose="00000500000000000000" pitchFamily="2" charset="0"/>
            <a:cs typeface="Poppins" panose="00000500000000000000" pitchFamily="2" charset="0"/>
          </a:endParaRPr>
        </a:p>
      </xdr:txBody>
    </xdr:sp>
    <xdr:clientData/>
  </xdr:twoCellAnchor>
  <xdr:twoCellAnchor>
    <xdr:from>
      <xdr:col>19</xdr:col>
      <xdr:colOff>25400</xdr:colOff>
      <xdr:row>7</xdr:row>
      <xdr:rowOff>139700</xdr:rowOff>
    </xdr:from>
    <xdr:to>
      <xdr:col>22</xdr:col>
      <xdr:colOff>330200</xdr:colOff>
      <xdr:row>10</xdr:row>
      <xdr:rowOff>114300</xdr:rowOff>
    </xdr:to>
    <xdr:sp macro="" textlink="">
      <xdr:nvSpPr>
        <xdr:cNvPr id="37" name="TextBox 36">
          <a:extLst>
            <a:ext uri="{FF2B5EF4-FFF2-40B4-BE49-F238E27FC236}">
              <a16:creationId xmlns:a16="http://schemas.microsoft.com/office/drawing/2014/main" id="{0085443A-FFE9-470D-AD0F-9FB0D3006F59}"/>
            </a:ext>
          </a:extLst>
        </xdr:cNvPr>
        <xdr:cNvSpPr txBox="1"/>
      </xdr:nvSpPr>
      <xdr:spPr>
        <a:xfrm>
          <a:off x="11607800" y="1473200"/>
          <a:ext cx="21336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000" b="0">
              <a:solidFill>
                <a:srgbClr val="0FA3A3"/>
              </a:solidFill>
              <a:latin typeface="Poppins" panose="00000500000000000000" pitchFamily="2" charset="0"/>
              <a:cs typeface="Poppins" panose="00000500000000000000" pitchFamily="2" charset="0"/>
            </a:rPr>
            <a:t>Kolom</a:t>
          </a:r>
          <a:r>
            <a:rPr lang="en-ID" sz="2000" b="0" baseline="0">
              <a:solidFill>
                <a:srgbClr val="0FA3A3"/>
              </a:solidFill>
              <a:latin typeface="Poppins" panose="00000500000000000000" pitchFamily="2" charset="0"/>
              <a:cs typeface="Poppins" panose="00000500000000000000" pitchFamily="2" charset="0"/>
            </a:rPr>
            <a:t> utama</a:t>
          </a:r>
          <a:endParaRPr lang="en-ID" sz="2000" b="1">
            <a:solidFill>
              <a:srgbClr val="0FA3A3"/>
            </a:solidFill>
            <a:latin typeface="Poppins" panose="00000500000000000000" pitchFamily="2" charset="0"/>
            <a:cs typeface="Poppins" panose="00000500000000000000" pitchFamily="2" charset="0"/>
          </a:endParaRPr>
        </a:p>
      </xdr:txBody>
    </xdr:sp>
    <xdr:clientData/>
  </xdr:twoCellAnchor>
  <xdr:twoCellAnchor>
    <xdr:from>
      <xdr:col>19</xdr:col>
      <xdr:colOff>101600</xdr:colOff>
      <xdr:row>11</xdr:row>
      <xdr:rowOff>38100</xdr:rowOff>
    </xdr:from>
    <xdr:to>
      <xdr:col>24</xdr:col>
      <xdr:colOff>457200</xdr:colOff>
      <xdr:row>18</xdr:row>
      <xdr:rowOff>0</xdr:rowOff>
    </xdr:to>
    <xdr:sp macro="" textlink="">
      <xdr:nvSpPr>
        <xdr:cNvPr id="38" name="TextBox 37">
          <a:extLst>
            <a:ext uri="{FF2B5EF4-FFF2-40B4-BE49-F238E27FC236}">
              <a16:creationId xmlns:a16="http://schemas.microsoft.com/office/drawing/2014/main" id="{8E03AAC6-DC9F-4681-BCBB-0CEFD3516717}"/>
            </a:ext>
          </a:extLst>
        </xdr:cNvPr>
        <xdr:cNvSpPr txBox="1"/>
      </xdr:nvSpPr>
      <xdr:spPr>
        <a:xfrm>
          <a:off x="11684000" y="2133600"/>
          <a:ext cx="34036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a:solidFill>
                <a:schemeClr val="bg1"/>
              </a:solidFill>
              <a:latin typeface="Poppins" panose="00000500000000000000" pitchFamily="2" charset="0"/>
              <a:cs typeface="Poppins" panose="00000500000000000000" pitchFamily="2" charset="0"/>
            </a:rPr>
            <a:t>Tanggal, Produk, Cabang, Kategori, Metode Pembayaran, Quantity, Revenue</a:t>
          </a:r>
          <a:endParaRPr lang="en-ID" sz="1600" b="1">
            <a:solidFill>
              <a:schemeClr val="bg1"/>
            </a:solidFill>
            <a:latin typeface="Poppins" panose="00000500000000000000" pitchFamily="2" charset="0"/>
            <a:cs typeface="Poppins" panose="00000500000000000000" pitchFamily="2" charset="0"/>
          </a:endParaRPr>
        </a:p>
      </xdr:txBody>
    </xdr:sp>
    <xdr:clientData/>
  </xdr:twoCellAnchor>
  <xdr:twoCellAnchor>
    <xdr:from>
      <xdr:col>5</xdr:col>
      <xdr:colOff>406400</xdr:colOff>
      <xdr:row>18</xdr:row>
      <xdr:rowOff>177800</xdr:rowOff>
    </xdr:from>
    <xdr:to>
      <xdr:col>9</xdr:col>
      <xdr:colOff>101600</xdr:colOff>
      <xdr:row>21</xdr:row>
      <xdr:rowOff>152400</xdr:rowOff>
    </xdr:to>
    <xdr:sp macro="" textlink="">
      <xdr:nvSpPr>
        <xdr:cNvPr id="39" name="TextBox 38">
          <a:extLst>
            <a:ext uri="{FF2B5EF4-FFF2-40B4-BE49-F238E27FC236}">
              <a16:creationId xmlns:a16="http://schemas.microsoft.com/office/drawing/2014/main" id="{2A5E3382-625A-4A50-8C96-F09C0D6DF8E5}"/>
            </a:ext>
          </a:extLst>
        </xdr:cNvPr>
        <xdr:cNvSpPr txBox="1"/>
      </xdr:nvSpPr>
      <xdr:spPr>
        <a:xfrm>
          <a:off x="3454400" y="3606800"/>
          <a:ext cx="21336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000">
              <a:solidFill>
                <a:srgbClr val="0FA3A3"/>
              </a:solidFill>
              <a:latin typeface="Poppins" panose="00000500000000000000" pitchFamily="2" charset="0"/>
              <a:cs typeface="Poppins" panose="00000500000000000000" pitchFamily="2" charset="0"/>
            </a:rPr>
            <a:t>Tujuan analisis</a:t>
          </a:r>
          <a:endParaRPr lang="en-ID" sz="2000" b="1">
            <a:solidFill>
              <a:srgbClr val="0FA3A3"/>
            </a:solidFill>
            <a:latin typeface="Poppins" panose="00000500000000000000" pitchFamily="2" charset="0"/>
            <a:cs typeface="Poppins" panose="00000500000000000000" pitchFamily="2" charset="0"/>
          </a:endParaRPr>
        </a:p>
      </xdr:txBody>
    </xdr:sp>
    <xdr:clientData/>
  </xdr:twoCellAnchor>
  <xdr:twoCellAnchor>
    <xdr:from>
      <xdr:col>5</xdr:col>
      <xdr:colOff>406400</xdr:colOff>
      <xdr:row>22</xdr:row>
      <xdr:rowOff>25400</xdr:rowOff>
    </xdr:from>
    <xdr:to>
      <xdr:col>11</xdr:col>
      <xdr:colOff>152400</xdr:colOff>
      <xdr:row>28</xdr:row>
      <xdr:rowOff>177800</xdr:rowOff>
    </xdr:to>
    <xdr:sp macro="" textlink="">
      <xdr:nvSpPr>
        <xdr:cNvPr id="40" name="TextBox 39">
          <a:extLst>
            <a:ext uri="{FF2B5EF4-FFF2-40B4-BE49-F238E27FC236}">
              <a16:creationId xmlns:a16="http://schemas.microsoft.com/office/drawing/2014/main" id="{33661275-8718-4DA0-B4C6-8A46068AD4C5}"/>
            </a:ext>
          </a:extLst>
        </xdr:cNvPr>
        <xdr:cNvSpPr txBox="1"/>
      </xdr:nvSpPr>
      <xdr:spPr>
        <a:xfrm>
          <a:off x="3454400" y="4216400"/>
          <a:ext cx="34036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a:solidFill>
                <a:schemeClr val="bg1"/>
              </a:solidFill>
              <a:latin typeface="Poppins" panose="00000500000000000000" pitchFamily="2" charset="0"/>
              <a:cs typeface="Poppins" panose="00000500000000000000" pitchFamily="2" charset="0"/>
            </a:rPr>
            <a:t>Mengetahui performa penjualan dan kategori produk dengan kontribusi tertinggi</a:t>
          </a:r>
          <a:endParaRPr lang="en-ID" sz="1600" b="1">
            <a:solidFill>
              <a:schemeClr val="bg1"/>
            </a:solidFill>
            <a:latin typeface="Poppins" panose="00000500000000000000" pitchFamily="2" charset="0"/>
            <a:cs typeface="Poppins" panose="00000500000000000000" pitchFamily="2" charset="0"/>
          </a:endParaRPr>
        </a:p>
      </xdr:txBody>
    </xdr:sp>
    <xdr:clientData/>
  </xdr:twoCellAnchor>
  <xdr:twoCellAnchor>
    <xdr:from>
      <xdr:col>12</xdr:col>
      <xdr:colOff>266700</xdr:colOff>
      <xdr:row>19</xdr:row>
      <xdr:rowOff>12700</xdr:rowOff>
    </xdr:from>
    <xdr:to>
      <xdr:col>15</xdr:col>
      <xdr:colOff>571500</xdr:colOff>
      <xdr:row>21</xdr:row>
      <xdr:rowOff>177800</xdr:rowOff>
    </xdr:to>
    <xdr:sp macro="" textlink="">
      <xdr:nvSpPr>
        <xdr:cNvPr id="41" name="TextBox 40">
          <a:extLst>
            <a:ext uri="{FF2B5EF4-FFF2-40B4-BE49-F238E27FC236}">
              <a16:creationId xmlns:a16="http://schemas.microsoft.com/office/drawing/2014/main" id="{FAAC7DA5-81E9-46FE-9688-CEDAF88E2533}"/>
            </a:ext>
          </a:extLst>
        </xdr:cNvPr>
        <xdr:cNvSpPr txBox="1"/>
      </xdr:nvSpPr>
      <xdr:spPr>
        <a:xfrm>
          <a:off x="7581900" y="3632200"/>
          <a:ext cx="21336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000" b="0">
              <a:solidFill>
                <a:srgbClr val="0FA3A3"/>
              </a:solidFill>
              <a:latin typeface="Poppins" panose="00000500000000000000" pitchFamily="2" charset="0"/>
              <a:cs typeface="Poppins" panose="00000500000000000000" pitchFamily="2" charset="0"/>
            </a:rPr>
            <a:t>Tools</a:t>
          </a:r>
          <a:endParaRPr lang="en-ID" sz="2000" b="1">
            <a:solidFill>
              <a:srgbClr val="0FA3A3"/>
            </a:solidFill>
            <a:latin typeface="Poppins" panose="00000500000000000000" pitchFamily="2" charset="0"/>
            <a:cs typeface="Poppins" panose="00000500000000000000" pitchFamily="2" charset="0"/>
          </a:endParaRPr>
        </a:p>
      </xdr:txBody>
    </xdr:sp>
    <xdr:clientData/>
  </xdr:twoCellAnchor>
  <xdr:twoCellAnchor>
    <xdr:from>
      <xdr:col>12</xdr:col>
      <xdr:colOff>266700</xdr:colOff>
      <xdr:row>22</xdr:row>
      <xdr:rowOff>50800</xdr:rowOff>
    </xdr:from>
    <xdr:to>
      <xdr:col>18</xdr:col>
      <xdr:colOff>12700</xdr:colOff>
      <xdr:row>29</xdr:row>
      <xdr:rowOff>12700</xdr:rowOff>
    </xdr:to>
    <xdr:sp macro="" textlink="">
      <xdr:nvSpPr>
        <xdr:cNvPr id="42" name="TextBox 41">
          <a:extLst>
            <a:ext uri="{FF2B5EF4-FFF2-40B4-BE49-F238E27FC236}">
              <a16:creationId xmlns:a16="http://schemas.microsoft.com/office/drawing/2014/main" id="{5B5497C0-C9C6-4920-860B-674617411C0D}"/>
            </a:ext>
          </a:extLst>
        </xdr:cNvPr>
        <xdr:cNvSpPr txBox="1"/>
      </xdr:nvSpPr>
      <xdr:spPr>
        <a:xfrm>
          <a:off x="7581900" y="4241800"/>
          <a:ext cx="34036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a:solidFill>
                <a:schemeClr val="bg1"/>
              </a:solidFill>
              <a:latin typeface="Poppins" panose="00000500000000000000" pitchFamily="2" charset="0"/>
              <a:cs typeface="Poppins" panose="00000500000000000000" pitchFamily="2" charset="0"/>
            </a:rPr>
            <a:t>Microsoft Excel (PivotTable, PivotChart, Slicer , Timeline)</a:t>
          </a:r>
          <a:endParaRPr lang="en-ID" sz="2000" b="1">
            <a:solidFill>
              <a:schemeClr val="bg1"/>
            </a:solidFill>
            <a:latin typeface="Poppins" panose="00000500000000000000" pitchFamily="2" charset="0"/>
            <a:cs typeface="Poppins" panose="00000500000000000000" pitchFamily="2" charset="0"/>
          </a:endParaRPr>
        </a:p>
      </xdr:txBody>
    </xdr:sp>
    <xdr:clientData/>
  </xdr:twoCellAnchor>
  <xdr:twoCellAnchor>
    <xdr:from>
      <xdr:col>4</xdr:col>
      <xdr:colOff>25400</xdr:colOff>
      <xdr:row>0</xdr:row>
      <xdr:rowOff>0</xdr:rowOff>
    </xdr:from>
    <xdr:to>
      <xdr:col>10</xdr:col>
      <xdr:colOff>520700</xdr:colOff>
      <xdr:row>5</xdr:row>
      <xdr:rowOff>165100</xdr:rowOff>
    </xdr:to>
    <xdr:sp macro="" textlink="">
      <xdr:nvSpPr>
        <xdr:cNvPr id="3" name="TextBox 2">
          <a:extLst>
            <a:ext uri="{FF2B5EF4-FFF2-40B4-BE49-F238E27FC236}">
              <a16:creationId xmlns:a16="http://schemas.microsoft.com/office/drawing/2014/main" id="{4B7AA1E4-CB7F-4831-9F6A-A0EF1FD3DA7D}"/>
            </a:ext>
          </a:extLst>
        </xdr:cNvPr>
        <xdr:cNvSpPr txBox="1"/>
      </xdr:nvSpPr>
      <xdr:spPr>
        <a:xfrm>
          <a:off x="2463800" y="0"/>
          <a:ext cx="4152900" cy="1117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7000">
              <a:solidFill>
                <a:srgbClr val="0FA3A3"/>
              </a:solidFill>
              <a:latin typeface="Poppins" panose="00000500000000000000" pitchFamily="2" charset="0"/>
              <a:cs typeface="Poppins" panose="00000500000000000000" pitchFamily="2" charset="0"/>
            </a:rPr>
            <a:t>======</a:t>
          </a:r>
        </a:p>
      </xdr:txBody>
    </xdr:sp>
    <xdr:clientData/>
  </xdr:twoCellAnchor>
  <xdr:twoCellAnchor>
    <xdr:from>
      <xdr:col>18</xdr:col>
      <xdr:colOff>571500</xdr:colOff>
      <xdr:row>0</xdr:row>
      <xdr:rowOff>0</xdr:rowOff>
    </xdr:from>
    <xdr:to>
      <xdr:col>25</xdr:col>
      <xdr:colOff>457200</xdr:colOff>
      <xdr:row>5</xdr:row>
      <xdr:rowOff>165100</xdr:rowOff>
    </xdr:to>
    <xdr:sp macro="" textlink="">
      <xdr:nvSpPr>
        <xdr:cNvPr id="44" name="TextBox 43">
          <a:extLst>
            <a:ext uri="{FF2B5EF4-FFF2-40B4-BE49-F238E27FC236}">
              <a16:creationId xmlns:a16="http://schemas.microsoft.com/office/drawing/2014/main" id="{419059F6-F52A-437C-AB98-2495CCF2C85E}"/>
            </a:ext>
          </a:extLst>
        </xdr:cNvPr>
        <xdr:cNvSpPr txBox="1"/>
      </xdr:nvSpPr>
      <xdr:spPr>
        <a:xfrm>
          <a:off x="11544300" y="0"/>
          <a:ext cx="4152900" cy="1117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7000">
              <a:solidFill>
                <a:srgbClr val="0FA3A3"/>
              </a:solidFill>
              <a:latin typeface="Poppins" panose="00000500000000000000" pitchFamily="2" charset="0"/>
              <a:cs typeface="Poppins" panose="00000500000000000000" pitchFamily="2" charset="0"/>
            </a:rPr>
            <a:t>======</a:t>
          </a:r>
        </a:p>
      </xdr:txBody>
    </xdr:sp>
    <xdr:clientData/>
  </xdr:twoCellAnchor>
  <xdr:twoCellAnchor editAs="oneCell">
    <xdr:from>
      <xdr:col>19</xdr:col>
      <xdr:colOff>50800</xdr:colOff>
      <xdr:row>19</xdr:row>
      <xdr:rowOff>38100</xdr:rowOff>
    </xdr:from>
    <xdr:to>
      <xdr:col>22</xdr:col>
      <xdr:colOff>88900</xdr:colOff>
      <xdr:row>29</xdr:row>
      <xdr:rowOff>0</xdr:rowOff>
    </xdr:to>
    <xdr:pic>
      <xdr:nvPicPr>
        <xdr:cNvPr id="4" name="Picture 3">
          <a:extLst>
            <a:ext uri="{FF2B5EF4-FFF2-40B4-BE49-F238E27FC236}">
              <a16:creationId xmlns:a16="http://schemas.microsoft.com/office/drawing/2014/main" id="{BB7F5F8A-6D7A-4252-8230-941933F263FF}"/>
            </a:ext>
          </a:extLst>
        </xdr:cNvPr>
        <xdr:cNvPicPr>
          <a:picLocks noChangeAspect="1"/>
        </xdr:cNvPicPr>
      </xdr:nvPicPr>
      <xdr:blipFill>
        <a:blip xmlns:r="http://schemas.openxmlformats.org/officeDocument/2006/relationships" r:embed="rId9"/>
        <a:stretch>
          <a:fillRect/>
        </a:stretch>
      </xdr:blipFill>
      <xdr:spPr>
        <a:xfrm>
          <a:off x="11633200" y="3657600"/>
          <a:ext cx="1866900" cy="1866900"/>
        </a:xfrm>
        <a:prstGeom prst="rect">
          <a:avLst/>
        </a:prstGeom>
      </xdr:spPr>
    </xdr:pic>
    <xdr:clientData/>
  </xdr:twoCellAnchor>
  <xdr:twoCellAnchor editAs="oneCell">
    <xdr:from>
      <xdr:col>22</xdr:col>
      <xdr:colOff>0</xdr:colOff>
      <xdr:row>19</xdr:row>
      <xdr:rowOff>0</xdr:rowOff>
    </xdr:from>
    <xdr:to>
      <xdr:col>25</xdr:col>
      <xdr:colOff>101600</xdr:colOff>
      <xdr:row>29</xdr:row>
      <xdr:rowOff>25400</xdr:rowOff>
    </xdr:to>
    <xdr:pic>
      <xdr:nvPicPr>
        <xdr:cNvPr id="5" name="Picture 4">
          <a:extLst>
            <a:ext uri="{FF2B5EF4-FFF2-40B4-BE49-F238E27FC236}">
              <a16:creationId xmlns:a16="http://schemas.microsoft.com/office/drawing/2014/main" id="{ECF049C4-F4B0-415D-8729-AABCBB2F037F}"/>
            </a:ext>
          </a:extLst>
        </xdr:cNvPr>
        <xdr:cNvPicPr>
          <a:picLocks noChangeAspect="1"/>
        </xdr:cNvPicPr>
      </xdr:nvPicPr>
      <xdr:blipFill>
        <a:blip xmlns:r="http://schemas.openxmlformats.org/officeDocument/2006/relationships" r:embed="rId10"/>
        <a:stretch>
          <a:fillRect/>
        </a:stretch>
      </xdr:blipFill>
      <xdr:spPr>
        <a:xfrm>
          <a:off x="13411200" y="3619500"/>
          <a:ext cx="1930400" cy="1930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526676</xdr:colOff>
      <xdr:row>0</xdr:row>
      <xdr:rowOff>67235</xdr:rowOff>
    </xdr:from>
    <xdr:to>
      <xdr:col>18</xdr:col>
      <xdr:colOff>526676</xdr:colOff>
      <xdr:row>2</xdr:row>
      <xdr:rowOff>100855</xdr:rowOff>
    </xdr:to>
    <xdr:sp macro="" textlink="">
      <xdr:nvSpPr>
        <xdr:cNvPr id="2" name="TextBox 1">
          <a:extLst>
            <a:ext uri="{FF2B5EF4-FFF2-40B4-BE49-F238E27FC236}">
              <a16:creationId xmlns:a16="http://schemas.microsoft.com/office/drawing/2014/main" id="{C4AB8F6F-07BE-4A21-87F9-17A7A8650288}"/>
            </a:ext>
          </a:extLst>
        </xdr:cNvPr>
        <xdr:cNvSpPr txBox="1"/>
      </xdr:nvSpPr>
      <xdr:spPr>
        <a:xfrm>
          <a:off x="6577852" y="67235"/>
          <a:ext cx="9681883" cy="414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3200" b="1">
              <a:solidFill>
                <a:schemeClr val="bg1"/>
              </a:solidFill>
              <a:latin typeface="Sagoe ai"/>
            </a:rPr>
            <a:t>  Store Performance Summary</a:t>
          </a:r>
        </a:p>
      </xdr:txBody>
    </xdr:sp>
    <xdr:clientData/>
  </xdr:twoCellAnchor>
  <xdr:twoCellAnchor>
    <xdr:from>
      <xdr:col>6</xdr:col>
      <xdr:colOff>470648</xdr:colOff>
      <xdr:row>3</xdr:row>
      <xdr:rowOff>134471</xdr:rowOff>
    </xdr:from>
    <xdr:to>
      <xdr:col>9</xdr:col>
      <xdr:colOff>156883</xdr:colOff>
      <xdr:row>7</xdr:row>
      <xdr:rowOff>168089</xdr:rowOff>
    </xdr:to>
    <xdr:sp macro="" textlink="">
      <xdr:nvSpPr>
        <xdr:cNvPr id="3" name="Rectangle 2">
          <a:extLst>
            <a:ext uri="{FF2B5EF4-FFF2-40B4-BE49-F238E27FC236}">
              <a16:creationId xmlns:a16="http://schemas.microsoft.com/office/drawing/2014/main" id="{4DAF2995-70C5-447B-9FF3-FEA86171ACCC}"/>
            </a:ext>
          </a:extLst>
        </xdr:cNvPr>
        <xdr:cNvSpPr/>
      </xdr:nvSpPr>
      <xdr:spPr>
        <a:xfrm>
          <a:off x="4101354" y="705971"/>
          <a:ext cx="1501588" cy="795618"/>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571501</xdr:colOff>
      <xdr:row>3</xdr:row>
      <xdr:rowOff>134471</xdr:rowOff>
    </xdr:from>
    <xdr:to>
      <xdr:col>12</xdr:col>
      <xdr:colOff>459442</xdr:colOff>
      <xdr:row>7</xdr:row>
      <xdr:rowOff>168089</xdr:rowOff>
    </xdr:to>
    <xdr:sp macro="" textlink="">
      <xdr:nvSpPr>
        <xdr:cNvPr id="4" name="Rectangle 3">
          <a:extLst>
            <a:ext uri="{FF2B5EF4-FFF2-40B4-BE49-F238E27FC236}">
              <a16:creationId xmlns:a16="http://schemas.microsoft.com/office/drawing/2014/main" id="{B26BEE5E-3EE1-40E7-90AE-E66898A00B22}"/>
            </a:ext>
          </a:extLst>
        </xdr:cNvPr>
        <xdr:cNvSpPr/>
      </xdr:nvSpPr>
      <xdr:spPr>
        <a:xfrm>
          <a:off x="6017560" y="705971"/>
          <a:ext cx="1703294" cy="795618"/>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13</xdr:col>
      <xdr:colOff>280150</xdr:colOff>
      <xdr:row>3</xdr:row>
      <xdr:rowOff>145676</xdr:rowOff>
    </xdr:from>
    <xdr:to>
      <xdr:col>15</xdr:col>
      <xdr:colOff>571502</xdr:colOff>
      <xdr:row>7</xdr:row>
      <xdr:rowOff>179294</xdr:rowOff>
    </xdr:to>
    <xdr:sp macro="" textlink="">
      <xdr:nvSpPr>
        <xdr:cNvPr id="5" name="Rectangle 4">
          <a:extLst>
            <a:ext uri="{FF2B5EF4-FFF2-40B4-BE49-F238E27FC236}">
              <a16:creationId xmlns:a16="http://schemas.microsoft.com/office/drawing/2014/main" id="{8E85C6AA-E466-455B-A832-24458C58B4C9}"/>
            </a:ext>
          </a:extLst>
        </xdr:cNvPr>
        <xdr:cNvSpPr/>
      </xdr:nvSpPr>
      <xdr:spPr>
        <a:xfrm>
          <a:off x="8146679" y="717176"/>
          <a:ext cx="1501588" cy="795618"/>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16</xdr:col>
      <xdr:colOff>425825</xdr:colOff>
      <xdr:row>3</xdr:row>
      <xdr:rowOff>145676</xdr:rowOff>
    </xdr:from>
    <xdr:to>
      <xdr:col>21</xdr:col>
      <xdr:colOff>168089</xdr:colOff>
      <xdr:row>7</xdr:row>
      <xdr:rowOff>179294</xdr:rowOff>
    </xdr:to>
    <xdr:sp macro="" textlink="">
      <xdr:nvSpPr>
        <xdr:cNvPr id="6" name="Rectangle 5">
          <a:extLst>
            <a:ext uri="{FF2B5EF4-FFF2-40B4-BE49-F238E27FC236}">
              <a16:creationId xmlns:a16="http://schemas.microsoft.com/office/drawing/2014/main" id="{992FBFD8-6110-4F95-AAF0-B8EC130DC531}"/>
            </a:ext>
          </a:extLst>
        </xdr:cNvPr>
        <xdr:cNvSpPr/>
      </xdr:nvSpPr>
      <xdr:spPr>
        <a:xfrm>
          <a:off x="10107707" y="717176"/>
          <a:ext cx="2767853" cy="795618"/>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560295</xdr:colOff>
      <xdr:row>5</xdr:row>
      <xdr:rowOff>168088</xdr:rowOff>
    </xdr:from>
    <xdr:to>
      <xdr:col>9</xdr:col>
      <xdr:colOff>246530</xdr:colOff>
      <xdr:row>8</xdr:row>
      <xdr:rowOff>33618</xdr:rowOff>
    </xdr:to>
    <xdr:sp macro="" textlink="'KPI&amp;PIVOT'!A4">
      <xdr:nvSpPr>
        <xdr:cNvPr id="7" name="Rectangle 6">
          <a:extLst>
            <a:ext uri="{FF2B5EF4-FFF2-40B4-BE49-F238E27FC236}">
              <a16:creationId xmlns:a16="http://schemas.microsoft.com/office/drawing/2014/main" id="{2950F51B-59A7-4E1B-B1AC-8C929106C962}"/>
            </a:ext>
          </a:extLst>
        </xdr:cNvPr>
        <xdr:cNvSpPr/>
      </xdr:nvSpPr>
      <xdr:spPr>
        <a:xfrm>
          <a:off x="4191001" y="1120588"/>
          <a:ext cx="1501588" cy="43703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9F22D1E-1424-4E66-89AB-C8228C443546}" type="TxLink">
            <a:rPr lang="en-US" sz="1900" b="0" i="0" u="none" strike="noStrike">
              <a:solidFill>
                <a:srgbClr val="0FA3A3"/>
              </a:solidFill>
              <a:latin typeface="Impact" panose="020B0806030902050204" pitchFamily="34" charset="0"/>
              <a:ea typeface="Calibri"/>
              <a:cs typeface="Calibri"/>
            </a:rPr>
            <a:pPr algn="ctr"/>
            <a:t>Rp37.757.500</a:t>
          </a:fld>
          <a:endParaRPr lang="en-ID" sz="1900">
            <a:solidFill>
              <a:srgbClr val="0FA3A3"/>
            </a:solidFill>
            <a:latin typeface="Impact" panose="020B0806030902050204" pitchFamily="34" charset="0"/>
          </a:endParaRPr>
        </a:p>
      </xdr:txBody>
    </xdr:sp>
    <xdr:clientData/>
  </xdr:twoCellAnchor>
  <xdr:twoCellAnchor>
    <xdr:from>
      <xdr:col>10</xdr:col>
      <xdr:colOff>44824</xdr:colOff>
      <xdr:row>6</xdr:row>
      <xdr:rowOff>0</xdr:rowOff>
    </xdr:from>
    <xdr:to>
      <xdr:col>12</xdr:col>
      <xdr:colOff>593910</xdr:colOff>
      <xdr:row>8</xdr:row>
      <xdr:rowOff>56030</xdr:rowOff>
    </xdr:to>
    <xdr:sp macro="" textlink="'KPI&amp;PIVOT'!C4">
      <xdr:nvSpPr>
        <xdr:cNvPr id="8" name="Rectangle 7">
          <a:extLst>
            <a:ext uri="{FF2B5EF4-FFF2-40B4-BE49-F238E27FC236}">
              <a16:creationId xmlns:a16="http://schemas.microsoft.com/office/drawing/2014/main" id="{AE5392E2-A174-44DA-92F4-FF9FB54B7955}"/>
            </a:ext>
          </a:extLst>
        </xdr:cNvPr>
        <xdr:cNvSpPr/>
      </xdr:nvSpPr>
      <xdr:spPr>
        <a:xfrm>
          <a:off x="6096000" y="1143000"/>
          <a:ext cx="1759322" cy="43703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0" i="0" u="none" strike="noStrike">
              <a:solidFill>
                <a:srgbClr val="0FA3A3"/>
              </a:solidFill>
              <a:latin typeface="Impact" panose="020B0806030902050204" pitchFamily="34" charset="0"/>
              <a:ea typeface="Calibri"/>
              <a:cs typeface="Calibri"/>
            </a:rPr>
            <a:t> </a:t>
          </a:r>
          <a:fld id="{A1237340-191A-401D-B017-9B318B4BD35D}" type="TxLink">
            <a:rPr lang="en-US" sz="2000" b="0" i="0" u="none" strike="noStrike">
              <a:solidFill>
                <a:srgbClr val="0FA3A3"/>
              </a:solidFill>
              <a:latin typeface="Impact" panose="020B0806030902050204" pitchFamily="34" charset="0"/>
              <a:ea typeface="Calibri"/>
              <a:cs typeface="Calibri"/>
            </a:rPr>
            <a:pPr algn="l"/>
            <a:t>991</a:t>
          </a:fld>
          <a:endParaRPr lang="en-ID" sz="2000">
            <a:solidFill>
              <a:srgbClr val="0FA3A3"/>
            </a:solidFill>
            <a:latin typeface="Impact" panose="020B0806030902050204" pitchFamily="34" charset="0"/>
          </a:endParaRPr>
        </a:p>
      </xdr:txBody>
    </xdr:sp>
    <xdr:clientData/>
  </xdr:twoCellAnchor>
  <xdr:twoCellAnchor>
    <xdr:from>
      <xdr:col>13</xdr:col>
      <xdr:colOff>369796</xdr:colOff>
      <xdr:row>5</xdr:row>
      <xdr:rowOff>179294</xdr:rowOff>
    </xdr:from>
    <xdr:to>
      <xdr:col>16</xdr:col>
      <xdr:colOff>56031</xdr:colOff>
      <xdr:row>8</xdr:row>
      <xdr:rowOff>44824</xdr:rowOff>
    </xdr:to>
    <xdr:sp macro="" textlink="'KPI&amp;PIVOT'!E4">
      <xdr:nvSpPr>
        <xdr:cNvPr id="9" name="Rectangle 8">
          <a:extLst>
            <a:ext uri="{FF2B5EF4-FFF2-40B4-BE49-F238E27FC236}">
              <a16:creationId xmlns:a16="http://schemas.microsoft.com/office/drawing/2014/main" id="{E44E0C02-7C26-495B-AB74-CCEB545302DC}"/>
            </a:ext>
          </a:extLst>
        </xdr:cNvPr>
        <xdr:cNvSpPr/>
      </xdr:nvSpPr>
      <xdr:spPr>
        <a:xfrm>
          <a:off x="8236325" y="1131794"/>
          <a:ext cx="1501588" cy="43703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C5323A8-855C-4640-96A1-97AE3B3B5520}" type="TxLink">
            <a:rPr lang="en-US" sz="2000" b="0" i="0" u="none" strike="noStrike">
              <a:solidFill>
                <a:srgbClr val="0FA3A3"/>
              </a:solidFill>
              <a:latin typeface="Impact" panose="020B0806030902050204" pitchFamily="34" charset="0"/>
              <a:ea typeface="Calibri"/>
              <a:cs typeface="Calibri"/>
            </a:rPr>
            <a:pPr algn="ctr"/>
            <a:t> Rp38.100 </a:t>
          </a:fld>
          <a:endParaRPr lang="en-ID" sz="2000">
            <a:solidFill>
              <a:srgbClr val="0FA3A3"/>
            </a:solidFill>
            <a:latin typeface="Impact" panose="020B0806030902050204" pitchFamily="34" charset="0"/>
          </a:endParaRPr>
        </a:p>
      </xdr:txBody>
    </xdr:sp>
    <xdr:clientData/>
  </xdr:twoCellAnchor>
  <xdr:twoCellAnchor>
    <xdr:from>
      <xdr:col>16</xdr:col>
      <xdr:colOff>515473</xdr:colOff>
      <xdr:row>5</xdr:row>
      <xdr:rowOff>179294</xdr:rowOff>
    </xdr:from>
    <xdr:to>
      <xdr:col>21</xdr:col>
      <xdr:colOff>212912</xdr:colOff>
      <xdr:row>8</xdr:row>
      <xdr:rowOff>44824</xdr:rowOff>
    </xdr:to>
    <xdr:sp macro="" textlink="'KPI&amp;PIVOT'!G4">
      <xdr:nvSpPr>
        <xdr:cNvPr id="10" name="Rectangle 9">
          <a:extLst>
            <a:ext uri="{FF2B5EF4-FFF2-40B4-BE49-F238E27FC236}">
              <a16:creationId xmlns:a16="http://schemas.microsoft.com/office/drawing/2014/main" id="{F32DA197-D77B-4844-A829-1055337D9EB6}"/>
            </a:ext>
          </a:extLst>
        </xdr:cNvPr>
        <xdr:cNvSpPr/>
      </xdr:nvSpPr>
      <xdr:spPr>
        <a:xfrm>
          <a:off x="10197355" y="1131794"/>
          <a:ext cx="2723028" cy="43703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0" i="0" u="none" strike="noStrike">
              <a:solidFill>
                <a:srgbClr val="0FA3A3"/>
              </a:solidFill>
              <a:latin typeface="Impact" panose="020B0806030902050204" pitchFamily="34" charset="0"/>
              <a:ea typeface="Calibri"/>
              <a:cs typeface="Calibri"/>
            </a:rPr>
            <a:t>         </a:t>
          </a:r>
          <a:fld id="{58CB9604-D0E5-4791-93B2-7E39E228E035}" type="TxLink">
            <a:rPr lang="en-US" sz="2000" b="0" i="0" u="none" strike="noStrike">
              <a:solidFill>
                <a:srgbClr val="0FA3A3"/>
              </a:solidFill>
              <a:latin typeface="Impact" panose="020B0806030902050204" pitchFamily="34" charset="0"/>
              <a:ea typeface="Calibri"/>
              <a:cs typeface="Calibri"/>
            </a:rPr>
            <a:pPr algn="l"/>
            <a:t>3,1</a:t>
          </a:fld>
          <a:endParaRPr lang="en-ID" sz="2000">
            <a:solidFill>
              <a:srgbClr val="0FA3A3"/>
            </a:solidFill>
            <a:latin typeface="Impact" panose="020B0806030902050204" pitchFamily="34" charset="0"/>
          </a:endParaRPr>
        </a:p>
      </xdr:txBody>
    </xdr:sp>
    <xdr:clientData/>
  </xdr:twoCellAnchor>
  <xdr:twoCellAnchor>
    <xdr:from>
      <xdr:col>7</xdr:col>
      <xdr:colOff>22412</xdr:colOff>
      <xdr:row>3</xdr:row>
      <xdr:rowOff>145676</xdr:rowOff>
    </xdr:from>
    <xdr:to>
      <xdr:col>9</xdr:col>
      <xdr:colOff>347383</xdr:colOff>
      <xdr:row>6</xdr:row>
      <xdr:rowOff>56029</xdr:rowOff>
    </xdr:to>
    <xdr:sp macro="" textlink="">
      <xdr:nvSpPr>
        <xdr:cNvPr id="11" name="TextBox 10">
          <a:extLst>
            <a:ext uri="{FF2B5EF4-FFF2-40B4-BE49-F238E27FC236}">
              <a16:creationId xmlns:a16="http://schemas.microsoft.com/office/drawing/2014/main" id="{687BC55F-99D1-4831-99FF-0857BB4A4182}"/>
            </a:ext>
          </a:extLst>
        </xdr:cNvPr>
        <xdr:cNvSpPr txBox="1"/>
      </xdr:nvSpPr>
      <xdr:spPr>
        <a:xfrm>
          <a:off x="4258236" y="717176"/>
          <a:ext cx="1535206" cy="48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solidFill>
                <a:schemeClr val="bg1"/>
              </a:solidFill>
              <a:latin typeface="Segoe ai"/>
            </a:rPr>
            <a:t>REVENUE</a:t>
          </a:r>
        </a:p>
      </xdr:txBody>
    </xdr:sp>
    <xdr:clientData/>
  </xdr:twoCellAnchor>
  <xdr:twoCellAnchor>
    <xdr:from>
      <xdr:col>10</xdr:col>
      <xdr:colOff>347382</xdr:colOff>
      <xdr:row>3</xdr:row>
      <xdr:rowOff>156882</xdr:rowOff>
    </xdr:from>
    <xdr:to>
      <xdr:col>12</xdr:col>
      <xdr:colOff>78441</xdr:colOff>
      <xdr:row>6</xdr:row>
      <xdr:rowOff>67235</xdr:rowOff>
    </xdr:to>
    <xdr:sp macro="" textlink="">
      <xdr:nvSpPr>
        <xdr:cNvPr id="12" name="TextBox 11">
          <a:extLst>
            <a:ext uri="{FF2B5EF4-FFF2-40B4-BE49-F238E27FC236}">
              <a16:creationId xmlns:a16="http://schemas.microsoft.com/office/drawing/2014/main" id="{AC87120A-3AAE-46DD-8B3D-4540097BBA2E}"/>
            </a:ext>
          </a:extLst>
        </xdr:cNvPr>
        <xdr:cNvSpPr txBox="1"/>
      </xdr:nvSpPr>
      <xdr:spPr>
        <a:xfrm>
          <a:off x="6398558" y="728382"/>
          <a:ext cx="941295" cy="48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solidFill>
                <a:schemeClr val="bg1"/>
              </a:solidFill>
              <a:latin typeface="Segoe ai"/>
            </a:rPr>
            <a:t>TOTAL</a:t>
          </a:r>
        </a:p>
      </xdr:txBody>
    </xdr:sp>
    <xdr:clientData/>
  </xdr:twoCellAnchor>
  <xdr:twoCellAnchor>
    <xdr:from>
      <xdr:col>14</xdr:col>
      <xdr:colOff>78440</xdr:colOff>
      <xdr:row>3</xdr:row>
      <xdr:rowOff>134469</xdr:rowOff>
    </xdr:from>
    <xdr:to>
      <xdr:col>16</xdr:col>
      <xdr:colOff>403410</xdr:colOff>
      <xdr:row>6</xdr:row>
      <xdr:rowOff>44822</xdr:rowOff>
    </xdr:to>
    <xdr:sp macro="" textlink="">
      <xdr:nvSpPr>
        <xdr:cNvPr id="13" name="TextBox 12">
          <a:extLst>
            <a:ext uri="{FF2B5EF4-FFF2-40B4-BE49-F238E27FC236}">
              <a16:creationId xmlns:a16="http://schemas.microsoft.com/office/drawing/2014/main" id="{B493ED2A-7A80-4A92-B6A6-B1615D5BD569}"/>
            </a:ext>
          </a:extLst>
        </xdr:cNvPr>
        <xdr:cNvSpPr txBox="1"/>
      </xdr:nvSpPr>
      <xdr:spPr>
        <a:xfrm>
          <a:off x="8550087" y="705969"/>
          <a:ext cx="1535205" cy="48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solidFill>
                <a:schemeClr val="bg1"/>
              </a:solidFill>
              <a:latin typeface="Segoe ai"/>
            </a:rPr>
            <a:t>AOV</a:t>
          </a:r>
        </a:p>
      </xdr:txBody>
    </xdr:sp>
    <xdr:clientData/>
  </xdr:twoCellAnchor>
  <xdr:twoCellAnchor>
    <xdr:from>
      <xdr:col>16</xdr:col>
      <xdr:colOff>549086</xdr:colOff>
      <xdr:row>3</xdr:row>
      <xdr:rowOff>145675</xdr:rowOff>
    </xdr:from>
    <xdr:to>
      <xdr:col>21</xdr:col>
      <xdr:colOff>168088</xdr:colOff>
      <xdr:row>6</xdr:row>
      <xdr:rowOff>44823</xdr:rowOff>
    </xdr:to>
    <xdr:sp macro="" textlink="">
      <xdr:nvSpPr>
        <xdr:cNvPr id="14" name="TextBox 13">
          <a:extLst>
            <a:ext uri="{FF2B5EF4-FFF2-40B4-BE49-F238E27FC236}">
              <a16:creationId xmlns:a16="http://schemas.microsoft.com/office/drawing/2014/main" id="{4AD3078C-B6D8-4747-A9FD-290EE9179BC2}"/>
            </a:ext>
          </a:extLst>
        </xdr:cNvPr>
        <xdr:cNvSpPr txBox="1"/>
      </xdr:nvSpPr>
      <xdr:spPr>
        <a:xfrm>
          <a:off x="10230968" y="717175"/>
          <a:ext cx="2644591" cy="470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solidFill>
                <a:schemeClr val="bg1"/>
              </a:solidFill>
              <a:latin typeface="Segoe ai"/>
            </a:rPr>
            <a:t>AVERAGE</a:t>
          </a:r>
          <a:r>
            <a:rPr lang="en-ID" sz="1800" b="1" baseline="0">
              <a:solidFill>
                <a:schemeClr val="bg1"/>
              </a:solidFill>
              <a:latin typeface="Segoe ai"/>
            </a:rPr>
            <a:t> </a:t>
          </a:r>
          <a:r>
            <a:rPr lang="en-ID" sz="1800" b="1">
              <a:solidFill>
                <a:schemeClr val="bg1"/>
              </a:solidFill>
              <a:latin typeface="Segoe ai"/>
            </a:rPr>
            <a:t>QUANTITY</a:t>
          </a:r>
        </a:p>
      </xdr:txBody>
    </xdr:sp>
    <xdr:clientData/>
  </xdr:twoCellAnchor>
  <xdr:twoCellAnchor>
    <xdr:from>
      <xdr:col>10</xdr:col>
      <xdr:colOff>537882</xdr:colOff>
      <xdr:row>6</xdr:row>
      <xdr:rowOff>22411</xdr:rowOff>
    </xdr:from>
    <xdr:to>
      <xdr:col>12</xdr:col>
      <xdr:colOff>582706</xdr:colOff>
      <xdr:row>8</xdr:row>
      <xdr:rowOff>123264</xdr:rowOff>
    </xdr:to>
    <xdr:sp macro="" textlink="">
      <xdr:nvSpPr>
        <xdr:cNvPr id="15" name="TextBox 14">
          <a:extLst>
            <a:ext uri="{FF2B5EF4-FFF2-40B4-BE49-F238E27FC236}">
              <a16:creationId xmlns:a16="http://schemas.microsoft.com/office/drawing/2014/main" id="{749E680D-854F-4DCC-91CB-9FEC31DC10DF}"/>
            </a:ext>
          </a:extLst>
        </xdr:cNvPr>
        <xdr:cNvSpPr txBox="1"/>
      </xdr:nvSpPr>
      <xdr:spPr>
        <a:xfrm>
          <a:off x="6589058" y="1165411"/>
          <a:ext cx="1255060" cy="48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900" b="0">
              <a:solidFill>
                <a:srgbClr val="0FA3A3"/>
              </a:solidFill>
              <a:latin typeface="Impact" panose="020B0806030902050204" pitchFamily="34" charset="0"/>
            </a:rPr>
            <a:t>TRANSAKSI</a:t>
          </a:r>
        </a:p>
      </xdr:txBody>
    </xdr:sp>
    <xdr:clientData/>
  </xdr:twoCellAnchor>
  <xdr:twoCellAnchor>
    <xdr:from>
      <xdr:col>18</xdr:col>
      <xdr:colOff>425822</xdr:colOff>
      <xdr:row>6</xdr:row>
      <xdr:rowOff>22411</xdr:rowOff>
    </xdr:from>
    <xdr:to>
      <xdr:col>21</xdr:col>
      <xdr:colOff>67236</xdr:colOff>
      <xdr:row>8</xdr:row>
      <xdr:rowOff>123264</xdr:rowOff>
    </xdr:to>
    <xdr:sp macro="" textlink="">
      <xdr:nvSpPr>
        <xdr:cNvPr id="16" name="TextBox 15">
          <a:extLst>
            <a:ext uri="{FF2B5EF4-FFF2-40B4-BE49-F238E27FC236}">
              <a16:creationId xmlns:a16="http://schemas.microsoft.com/office/drawing/2014/main" id="{59FA8487-74CF-4CF4-9D6C-8A7B2DD4F47F}"/>
            </a:ext>
          </a:extLst>
        </xdr:cNvPr>
        <xdr:cNvSpPr txBox="1"/>
      </xdr:nvSpPr>
      <xdr:spPr>
        <a:xfrm>
          <a:off x="11317940" y="1165411"/>
          <a:ext cx="1456767" cy="48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900" b="0">
              <a:solidFill>
                <a:srgbClr val="0FA3A3"/>
              </a:solidFill>
              <a:latin typeface="Impact" panose="020B0806030902050204" pitchFamily="34" charset="0"/>
            </a:rPr>
            <a:t>RATA - RATA</a:t>
          </a:r>
        </a:p>
      </xdr:txBody>
    </xdr:sp>
    <xdr:clientData/>
  </xdr:twoCellAnchor>
  <xdr:twoCellAnchor>
    <xdr:from>
      <xdr:col>3</xdr:col>
      <xdr:colOff>279782</xdr:colOff>
      <xdr:row>9</xdr:row>
      <xdr:rowOff>166776</xdr:rowOff>
    </xdr:from>
    <xdr:to>
      <xdr:col>10</xdr:col>
      <xdr:colOff>312965</xdr:colOff>
      <xdr:row>23</xdr:row>
      <xdr:rowOff>79167</xdr:rowOff>
    </xdr:to>
    <xdr:graphicFrame macro="">
      <xdr:nvGraphicFramePr>
        <xdr:cNvPr id="17" name="Chart 16">
          <a:extLst>
            <a:ext uri="{FF2B5EF4-FFF2-40B4-BE49-F238E27FC236}">
              <a16:creationId xmlns:a16="http://schemas.microsoft.com/office/drawing/2014/main" id="{C42DF44F-D123-4B88-99EF-CE8520810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301540</xdr:colOff>
      <xdr:row>24</xdr:row>
      <xdr:rowOff>95468</xdr:rowOff>
    </xdr:from>
    <xdr:to>
      <xdr:col>10</xdr:col>
      <xdr:colOff>326571</xdr:colOff>
      <xdr:row>37</xdr:row>
      <xdr:rowOff>162703</xdr:rowOff>
    </xdr:to>
    <xdr:graphicFrame macro="">
      <xdr:nvGraphicFramePr>
        <xdr:cNvPr id="19" name="Chart 18">
          <a:extLst>
            <a:ext uri="{FF2B5EF4-FFF2-40B4-BE49-F238E27FC236}">
              <a16:creationId xmlns:a16="http://schemas.microsoft.com/office/drawing/2014/main" id="{39F8DB88-A000-484D-89BF-2F5FF76AB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39947</xdr:colOff>
      <xdr:row>24</xdr:row>
      <xdr:rowOff>94085</xdr:rowOff>
    </xdr:from>
    <xdr:to>
      <xdr:col>17</xdr:col>
      <xdr:colOff>572809</xdr:colOff>
      <xdr:row>37</xdr:row>
      <xdr:rowOff>172527</xdr:rowOff>
    </xdr:to>
    <xdr:graphicFrame macro="">
      <xdr:nvGraphicFramePr>
        <xdr:cNvPr id="20" name="Chart 19">
          <a:extLst>
            <a:ext uri="{FF2B5EF4-FFF2-40B4-BE49-F238E27FC236}">
              <a16:creationId xmlns:a16="http://schemas.microsoft.com/office/drawing/2014/main" id="{FE63746D-B430-4125-9BEE-4CEA1064C1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320605</xdr:colOff>
      <xdr:row>38</xdr:row>
      <xdr:rowOff>134834</xdr:rowOff>
    </xdr:from>
    <xdr:to>
      <xdr:col>10</xdr:col>
      <xdr:colOff>321624</xdr:colOff>
      <xdr:row>52</xdr:row>
      <xdr:rowOff>56393</xdr:rowOff>
    </xdr:to>
    <xdr:graphicFrame macro="">
      <xdr:nvGraphicFramePr>
        <xdr:cNvPr id="21" name="Chart 20">
          <a:extLst>
            <a:ext uri="{FF2B5EF4-FFF2-40B4-BE49-F238E27FC236}">
              <a16:creationId xmlns:a16="http://schemas.microsoft.com/office/drawing/2014/main" id="{7E24ACD3-5704-4F43-B5F4-EC6DF908B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25321</xdr:colOff>
      <xdr:row>38</xdr:row>
      <xdr:rowOff>162050</xdr:rowOff>
    </xdr:from>
    <xdr:to>
      <xdr:col>17</xdr:col>
      <xdr:colOff>602425</xdr:colOff>
      <xdr:row>52</xdr:row>
      <xdr:rowOff>61197</xdr:rowOff>
    </xdr:to>
    <xdr:graphicFrame macro="">
      <xdr:nvGraphicFramePr>
        <xdr:cNvPr id="22" name="Chart 21">
          <a:extLst>
            <a:ext uri="{FF2B5EF4-FFF2-40B4-BE49-F238E27FC236}">
              <a16:creationId xmlns:a16="http://schemas.microsoft.com/office/drawing/2014/main" id="{A0D991E5-6CD0-4096-87F3-C4A0B2EE6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582084</xdr:colOff>
      <xdr:row>10</xdr:row>
      <xdr:rowOff>49962</xdr:rowOff>
    </xdr:from>
    <xdr:to>
      <xdr:col>18</xdr:col>
      <xdr:colOff>246882</xdr:colOff>
      <xdr:row>22</xdr:row>
      <xdr:rowOff>141069</xdr:rowOff>
    </xdr:to>
    <xdr:graphicFrame macro="">
      <xdr:nvGraphicFramePr>
        <xdr:cNvPr id="23" name="Chart 22">
          <a:extLst>
            <a:ext uri="{FF2B5EF4-FFF2-40B4-BE49-F238E27FC236}">
              <a16:creationId xmlns:a16="http://schemas.microsoft.com/office/drawing/2014/main" id="{2B578770-FE6F-42AE-84B7-AFD2B1C95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267900</xdr:colOff>
      <xdr:row>10</xdr:row>
      <xdr:rowOff>64274</xdr:rowOff>
    </xdr:from>
    <xdr:to>
      <xdr:col>21</xdr:col>
      <xdr:colOff>390525</xdr:colOff>
      <xdr:row>22</xdr:row>
      <xdr:rowOff>148318</xdr:rowOff>
    </xdr:to>
    <mc:AlternateContent xmlns:mc="http://schemas.openxmlformats.org/markup-compatibility/2006" xmlns:a14="http://schemas.microsoft.com/office/drawing/2010/main">
      <mc:Choice Requires="a14">
        <xdr:graphicFrame macro="">
          <xdr:nvGraphicFramePr>
            <xdr:cNvPr id="24" name="Product">
              <a:extLst>
                <a:ext uri="{FF2B5EF4-FFF2-40B4-BE49-F238E27FC236}">
                  <a16:creationId xmlns:a16="http://schemas.microsoft.com/office/drawing/2014/main" id="{2D378F4B-F7B7-4372-8B42-E9FA181009C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160018" y="1969274"/>
              <a:ext cx="1937978" cy="237004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264460</xdr:colOff>
      <xdr:row>36</xdr:row>
      <xdr:rowOff>113740</xdr:rowOff>
    </xdr:from>
    <xdr:to>
      <xdr:col>21</xdr:col>
      <xdr:colOff>277907</xdr:colOff>
      <xdr:row>41</xdr:row>
      <xdr:rowOff>89647</xdr:rowOff>
    </xdr:to>
    <mc:AlternateContent xmlns:mc="http://schemas.openxmlformats.org/markup-compatibility/2006" xmlns:a14="http://schemas.microsoft.com/office/drawing/2010/main">
      <mc:Choice Requires="a14">
        <xdr:graphicFrame macro="">
          <xdr:nvGraphicFramePr>
            <xdr:cNvPr id="25" name="Payment_Method">
              <a:extLst>
                <a:ext uri="{FF2B5EF4-FFF2-40B4-BE49-F238E27FC236}">
                  <a16:creationId xmlns:a16="http://schemas.microsoft.com/office/drawing/2014/main" id="{AF0B3DDA-B6F3-4E0B-A6D2-D64B3C608321}"/>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1156578" y="6971740"/>
              <a:ext cx="1828800" cy="92840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279068</xdr:colOff>
      <xdr:row>24</xdr:row>
      <xdr:rowOff>21092</xdr:rowOff>
    </xdr:from>
    <xdr:to>
      <xdr:col>21</xdr:col>
      <xdr:colOff>292514</xdr:colOff>
      <xdr:row>35</xdr:row>
      <xdr:rowOff>80963</xdr:rowOff>
    </xdr:to>
    <mc:AlternateContent xmlns:mc="http://schemas.openxmlformats.org/markup-compatibility/2006" xmlns:a14="http://schemas.microsoft.com/office/drawing/2010/main">
      <mc:Choice Requires="a14">
        <xdr:graphicFrame macro="">
          <xdr:nvGraphicFramePr>
            <xdr:cNvPr id="26" name="Branch">
              <a:extLst>
                <a:ext uri="{FF2B5EF4-FFF2-40B4-BE49-F238E27FC236}">
                  <a16:creationId xmlns:a16="http://schemas.microsoft.com/office/drawing/2014/main" id="{B02403C2-9B69-4BE8-8AFC-85FFE835FAD5}"/>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1171186" y="4593092"/>
              <a:ext cx="1828799" cy="215537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281549</xdr:colOff>
      <xdr:row>42</xdr:row>
      <xdr:rowOff>43424</xdr:rowOff>
    </xdr:from>
    <xdr:to>
      <xdr:col>21</xdr:col>
      <xdr:colOff>294996</xdr:colOff>
      <xdr:row>52</xdr:row>
      <xdr:rowOff>71438</xdr:rowOff>
    </xdr:to>
    <mc:AlternateContent xmlns:mc="http://schemas.openxmlformats.org/markup-compatibility/2006" xmlns:a14="http://schemas.microsoft.com/office/drawing/2010/main">
      <mc:Choice Requires="a14">
        <xdr:graphicFrame macro="">
          <xdr:nvGraphicFramePr>
            <xdr:cNvPr id="27" name="City">
              <a:extLst>
                <a:ext uri="{FF2B5EF4-FFF2-40B4-BE49-F238E27FC236}">
                  <a16:creationId xmlns:a16="http://schemas.microsoft.com/office/drawing/2014/main" id="{ACD4FACD-F0FA-47AD-BB62-B212B530EEB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173667" y="8044424"/>
              <a:ext cx="1828800" cy="193301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272820</xdr:colOff>
      <xdr:row>3</xdr:row>
      <xdr:rowOff>77149</xdr:rowOff>
    </xdr:from>
    <xdr:to>
      <xdr:col>6</xdr:col>
      <xdr:colOff>140416</xdr:colOff>
      <xdr:row>8</xdr:row>
      <xdr:rowOff>115249</xdr:rowOff>
    </xdr:to>
    <mc:AlternateContent xmlns:mc="http://schemas.openxmlformats.org/markup-compatibility/2006" xmlns:tsle="http://schemas.microsoft.com/office/drawing/2012/timeslicer">
      <mc:Choice Requires="tsle">
        <xdr:graphicFrame macro="">
          <xdr:nvGraphicFramePr>
            <xdr:cNvPr id="28" name="Date">
              <a:extLst>
                <a:ext uri="{FF2B5EF4-FFF2-40B4-BE49-F238E27FC236}">
                  <a16:creationId xmlns:a16="http://schemas.microsoft.com/office/drawing/2014/main" id="{0CA00FF7-64CD-4ED6-A3D3-0F591AE9DF12}"/>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088173" y="648649"/>
              <a:ext cx="1682949" cy="990600"/>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xdr:from>
      <xdr:col>4</xdr:col>
      <xdr:colOff>54427</xdr:colOff>
      <xdr:row>39</xdr:row>
      <xdr:rowOff>54428</xdr:rowOff>
    </xdr:from>
    <xdr:to>
      <xdr:col>5</xdr:col>
      <xdr:colOff>163285</xdr:colOff>
      <xdr:row>40</xdr:row>
      <xdr:rowOff>122463</xdr:rowOff>
    </xdr:to>
    <xdr:sp macro="" textlink="">
      <xdr:nvSpPr>
        <xdr:cNvPr id="18" name="TextBox 17">
          <a:extLst>
            <a:ext uri="{FF2B5EF4-FFF2-40B4-BE49-F238E27FC236}">
              <a16:creationId xmlns:a16="http://schemas.microsoft.com/office/drawing/2014/main" id="{6AF8F9DD-CF50-414B-8780-2535E94698D8}"/>
            </a:ext>
          </a:extLst>
        </xdr:cNvPr>
        <xdr:cNvSpPr txBox="1"/>
      </xdr:nvSpPr>
      <xdr:spPr>
        <a:xfrm>
          <a:off x="2503713" y="7483928"/>
          <a:ext cx="721179" cy="258535"/>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lumMod val="75000"/>
                </a:schemeClr>
              </a:solidFill>
              <a:latin typeface="Poppins" panose="00000500000000000000" pitchFamily="2" charset="0"/>
              <a:cs typeface="Poppins" panose="00000500000000000000" pitchFamily="2" charset="0"/>
            </a:rPr>
            <a:t>x10000</a:t>
          </a:r>
        </a:p>
      </xdr:txBody>
    </xdr:sp>
    <xdr:clientData/>
  </xdr:twoCellAnchor>
  <xdr:twoCellAnchor>
    <xdr:from>
      <xdr:col>10</xdr:col>
      <xdr:colOff>394608</xdr:colOff>
      <xdr:row>23</xdr:row>
      <xdr:rowOff>95250</xdr:rowOff>
    </xdr:from>
    <xdr:to>
      <xdr:col>10</xdr:col>
      <xdr:colOff>598715</xdr:colOff>
      <xdr:row>24</xdr:row>
      <xdr:rowOff>122465</xdr:rowOff>
    </xdr:to>
    <xdr:sp macro="" textlink="">
      <xdr:nvSpPr>
        <xdr:cNvPr id="29" name="Oval 28">
          <a:extLst>
            <a:ext uri="{FF2B5EF4-FFF2-40B4-BE49-F238E27FC236}">
              <a16:creationId xmlns:a16="http://schemas.microsoft.com/office/drawing/2014/main" id="{524BD13F-7E25-414F-B6FF-6A5B871A0128}"/>
            </a:ext>
          </a:extLst>
        </xdr:cNvPr>
        <xdr:cNvSpPr/>
      </xdr:nvSpPr>
      <xdr:spPr>
        <a:xfrm>
          <a:off x="6517822" y="4476750"/>
          <a:ext cx="204107" cy="217715"/>
        </a:xfrm>
        <a:prstGeom prst="ellipse">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404133</xdr:colOff>
      <xdr:row>37</xdr:row>
      <xdr:rowOff>154132</xdr:rowOff>
    </xdr:from>
    <xdr:to>
      <xdr:col>11</xdr:col>
      <xdr:colOff>2104</xdr:colOff>
      <xdr:row>38</xdr:row>
      <xdr:rowOff>181347</xdr:rowOff>
    </xdr:to>
    <xdr:sp macro="" textlink="">
      <xdr:nvSpPr>
        <xdr:cNvPr id="30" name="Oval 29">
          <a:extLst>
            <a:ext uri="{FF2B5EF4-FFF2-40B4-BE49-F238E27FC236}">
              <a16:creationId xmlns:a16="http://schemas.microsoft.com/office/drawing/2014/main" id="{2024A224-0FC8-4946-9A5F-A286247B0ED3}"/>
            </a:ext>
          </a:extLst>
        </xdr:cNvPr>
        <xdr:cNvSpPr/>
      </xdr:nvSpPr>
      <xdr:spPr>
        <a:xfrm>
          <a:off x="6465497" y="7202632"/>
          <a:ext cx="204107" cy="217715"/>
        </a:xfrm>
        <a:prstGeom prst="ellipse">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543242</xdr:colOff>
      <xdr:row>8</xdr:row>
      <xdr:rowOff>151036</xdr:rowOff>
    </xdr:from>
    <xdr:to>
      <xdr:col>14</xdr:col>
      <xdr:colOff>128624</xdr:colOff>
      <xdr:row>17</xdr:row>
      <xdr:rowOff>184653</xdr:rowOff>
    </xdr:to>
    <xdr:sp macro="" textlink="">
      <xdr:nvSpPr>
        <xdr:cNvPr id="31" name="TextBox 30">
          <a:extLst>
            <a:ext uri="{FF2B5EF4-FFF2-40B4-BE49-F238E27FC236}">
              <a16:creationId xmlns:a16="http://schemas.microsoft.com/office/drawing/2014/main" id="{D06B7DD3-C422-4907-A6ED-1A6F6353E5F1}"/>
            </a:ext>
          </a:extLst>
        </xdr:cNvPr>
        <xdr:cNvSpPr txBox="1"/>
      </xdr:nvSpPr>
      <xdr:spPr>
        <a:xfrm>
          <a:off x="6672372" y="1675036"/>
          <a:ext cx="2037035" cy="1748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1">
              <a:solidFill>
                <a:schemeClr val="bg1"/>
              </a:solidFill>
              <a:latin typeface="Poppins" panose="00000500000000000000" pitchFamily="2" charset="0"/>
              <a:cs typeface="Poppins" panose="00000500000000000000" pitchFamily="2" charset="0"/>
            </a:rPr>
            <a:t>SALES</a:t>
          </a:r>
          <a:r>
            <a:rPr lang="en-ID" sz="1600" b="1" baseline="0">
              <a:solidFill>
                <a:schemeClr val="bg1"/>
              </a:solidFill>
              <a:latin typeface="Poppins" panose="00000500000000000000" pitchFamily="2" charset="0"/>
              <a:cs typeface="Poppins" panose="00000500000000000000" pitchFamily="2" charset="0"/>
            </a:rPr>
            <a:t> DISTRIBUTION BY CATEGORY</a:t>
          </a:r>
          <a:endParaRPr lang="en-ID" sz="1600" b="1">
            <a:solidFill>
              <a:schemeClr val="bg1"/>
            </a:solidFill>
            <a:latin typeface="Poppins" panose="00000500000000000000" pitchFamily="2" charset="0"/>
            <a:cs typeface="Poppins" panose="00000500000000000000" pitchFamily="2" charset="0"/>
          </a:endParaRPr>
        </a:p>
      </xdr:txBody>
    </xdr:sp>
    <xdr:clientData/>
  </xdr:twoCellAnchor>
  <xdr:twoCellAnchor editAs="oneCell">
    <xdr:from>
      <xdr:col>11</xdr:col>
      <xdr:colOff>203966</xdr:colOff>
      <xdr:row>14</xdr:row>
      <xdr:rowOff>186999</xdr:rowOff>
    </xdr:from>
    <xdr:to>
      <xdr:col>13</xdr:col>
      <xdr:colOff>547374</xdr:colOff>
      <xdr:row>23</xdr:row>
      <xdr:rowOff>38100</xdr:rowOff>
    </xdr:to>
    <xdr:pic>
      <xdr:nvPicPr>
        <xdr:cNvPr id="36" name="Picture 35" descr="gradient style arrow icon">
          <a:extLst>
            <a:ext uri="{FF2B5EF4-FFF2-40B4-BE49-F238E27FC236}">
              <a16:creationId xmlns:a16="http://schemas.microsoft.com/office/drawing/2014/main" id="{85987350-58FF-43C6-A6AD-2B7C2581F296}"/>
            </a:ext>
          </a:extLst>
        </xdr:cNvPr>
        <xdr:cNvPicPr>
          <a:picLocks noChangeAspect="1" noChangeArrowheads="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10000" b="90000" l="10000" r="90000">
                      <a14:foregroundMark x1="33500" y1="50833" x2="27917" y2="49250"/>
                      <a14:foregroundMark x1="60583" y1="36500" x2="39833" y2="48500"/>
                      <a14:foregroundMark x1="23083" y1="42917" x2="64583" y2="58833"/>
                      <a14:foregroundMark x1="55750" y1="74000" x2="85250" y2="50833"/>
                      <a14:foregroundMark x1="58167" y1="31750" x2="86083" y2="50083"/>
                      <a14:foregroundMark x1="58167" y1="27750" x2="79667" y2="46083"/>
                      <a14:foregroundMark x1="58167" y1="35750" x2="59750" y2="66833"/>
                      <a14:foregroundMark x1="78083" y1="51667" x2="53417" y2="46833"/>
                      <a14:foregroundMark x1="74083" y1="46833" x2="59750" y2="60417"/>
                      <a14:foregroundMark x1="57417" y1="72417" x2="55750" y2="42917"/>
                      <a14:foregroundMark x1="60583" y1="58000" x2="14333" y2="54833"/>
                      <a14:foregroundMark x1="13583" y1="59667" x2="13583" y2="59667"/>
                      <a14:foregroundMark x1="16750" y1="58833" x2="15167" y2="47667"/>
                      <a14:foregroundMark x1="14333" y1="45250" x2="51000" y2="44500"/>
                      <a14:foregroundMark x1="15917" y1="42083" x2="56583" y2="44500"/>
                      <a14:foregroundMark x1="73333" y1="58000" x2="61333" y2="38917"/>
                      <a14:foregroundMark x1="73333" y1="54083" x2="54167" y2="50083"/>
                      <a14:foregroundMark x1="73333" y1="54083" x2="21500" y2="49250"/>
                      <a14:foregroundMark x1="48583" y1="58833" x2="15167" y2="56417"/>
                    </a14:backgroundRemoval>
                  </a14:imgEffect>
                </a14:imgLayer>
              </a14:imgProps>
            </a:ext>
            <a:ext uri="{28A0092B-C50C-407E-A947-70E740481C1C}">
              <a14:useLocalDpi xmlns:a14="http://schemas.microsoft.com/office/drawing/2010/main" val="0"/>
            </a:ext>
          </a:extLst>
        </a:blip>
        <a:srcRect/>
        <a:stretch>
          <a:fillRect/>
        </a:stretch>
      </xdr:blipFill>
      <xdr:spPr bwMode="auto">
        <a:xfrm>
          <a:off x="6909566" y="2853999"/>
          <a:ext cx="1562608" cy="1565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11206</xdr:colOff>
      <xdr:row>0</xdr:row>
      <xdr:rowOff>0</xdr:rowOff>
    </xdr:from>
    <xdr:to>
      <xdr:col>3</xdr:col>
      <xdr:colOff>0</xdr:colOff>
      <xdr:row>53</xdr:row>
      <xdr:rowOff>0</xdr:rowOff>
    </xdr:to>
    <xdr:sp macro="" textlink="">
      <xdr:nvSpPr>
        <xdr:cNvPr id="32" name="Rectangle 31">
          <a:extLst>
            <a:ext uri="{FF2B5EF4-FFF2-40B4-BE49-F238E27FC236}">
              <a16:creationId xmlns:a16="http://schemas.microsoft.com/office/drawing/2014/main" id="{9B04E56A-68ED-456E-9A76-877B83CD4A60}"/>
            </a:ext>
          </a:extLst>
        </xdr:cNvPr>
        <xdr:cNvSpPr/>
      </xdr:nvSpPr>
      <xdr:spPr>
        <a:xfrm>
          <a:off x="11206" y="0"/>
          <a:ext cx="1804147" cy="10096500"/>
        </a:xfrm>
        <a:prstGeom prst="rect">
          <a:avLst/>
        </a:prstGeom>
        <a:solidFill>
          <a:srgbClr val="0FA3A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493058</xdr:colOff>
      <xdr:row>0</xdr:row>
      <xdr:rowOff>11205</xdr:rowOff>
    </xdr:from>
    <xdr:to>
      <xdr:col>3</xdr:col>
      <xdr:colOff>22411</xdr:colOff>
      <xdr:row>53</xdr:row>
      <xdr:rowOff>0</xdr:rowOff>
    </xdr:to>
    <xdr:sp macro="" textlink="">
      <xdr:nvSpPr>
        <xdr:cNvPr id="33" name="Rectangle 32">
          <a:extLst>
            <a:ext uri="{FF2B5EF4-FFF2-40B4-BE49-F238E27FC236}">
              <a16:creationId xmlns:a16="http://schemas.microsoft.com/office/drawing/2014/main" id="{FEE0CFE2-A96D-4C4C-BB81-6D75553E86A3}"/>
            </a:ext>
          </a:extLst>
        </xdr:cNvPr>
        <xdr:cNvSpPr/>
      </xdr:nvSpPr>
      <xdr:spPr>
        <a:xfrm>
          <a:off x="1703293" y="11205"/>
          <a:ext cx="134471" cy="10085295"/>
        </a:xfrm>
        <a:prstGeom prst="rect">
          <a:avLst/>
        </a:prstGeom>
        <a:gradFill flip="none" rotWithShape="1">
          <a:gsLst>
            <a:gs pos="0">
              <a:srgbClr val="0FA3A3">
                <a:shade val="30000"/>
                <a:satMod val="115000"/>
              </a:srgbClr>
            </a:gs>
            <a:gs pos="50000">
              <a:srgbClr val="0FA3A3">
                <a:shade val="67500"/>
                <a:satMod val="115000"/>
              </a:srgbClr>
            </a:gs>
            <a:gs pos="100000">
              <a:srgbClr val="0FA3A3">
                <a:shade val="100000"/>
                <a:satMod val="115000"/>
              </a:srgbClr>
            </a:gs>
          </a:gsLst>
          <a:lin ang="108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0</xdr:col>
      <xdr:colOff>378781</xdr:colOff>
      <xdr:row>1</xdr:row>
      <xdr:rowOff>89647</xdr:rowOff>
    </xdr:from>
    <xdr:to>
      <xdr:col>2</xdr:col>
      <xdr:colOff>68546</xdr:colOff>
      <xdr:row>6</xdr:row>
      <xdr:rowOff>37147</xdr:rowOff>
    </xdr:to>
    <xdr:pic>
      <xdr:nvPicPr>
        <xdr:cNvPr id="34" name="Picture 33">
          <a:hlinkClick xmlns:r="http://schemas.openxmlformats.org/officeDocument/2006/relationships" r:id="rId9"/>
          <a:extLst>
            <a:ext uri="{FF2B5EF4-FFF2-40B4-BE49-F238E27FC236}">
              <a16:creationId xmlns:a16="http://schemas.microsoft.com/office/drawing/2014/main" id="{B102FAF9-5336-4828-BD50-69D46C5054FA}"/>
            </a:ext>
          </a:extLst>
        </xdr:cNvPr>
        <xdr:cNvPicPr>
          <a:picLocks noChangeAspect="1"/>
        </xdr:cNvPicPr>
      </xdr:nvPicPr>
      <xdr:blipFill>
        <a:blip xmlns:r="http://schemas.openxmlformats.org/officeDocument/2006/relationships" r:embed="rId10"/>
        <a:stretch>
          <a:fillRect/>
        </a:stretch>
      </xdr:blipFill>
      <xdr:spPr>
        <a:xfrm>
          <a:off x="378781" y="280147"/>
          <a:ext cx="900000" cy="900000"/>
        </a:xfrm>
        <a:prstGeom prst="rect">
          <a:avLst/>
        </a:prstGeom>
      </xdr:spPr>
    </xdr:pic>
    <xdr:clientData/>
  </xdr:twoCellAnchor>
  <xdr:twoCellAnchor editAs="oneCell">
    <xdr:from>
      <xdr:col>0</xdr:col>
      <xdr:colOff>392556</xdr:colOff>
      <xdr:row>15</xdr:row>
      <xdr:rowOff>88715</xdr:rowOff>
    </xdr:from>
    <xdr:to>
      <xdr:col>2</xdr:col>
      <xdr:colOff>82321</xdr:colOff>
      <xdr:row>20</xdr:row>
      <xdr:rowOff>34230</xdr:rowOff>
    </xdr:to>
    <xdr:pic>
      <xdr:nvPicPr>
        <xdr:cNvPr id="37" name="Picture 36">
          <a:hlinkClick xmlns:r="http://schemas.openxmlformats.org/officeDocument/2006/relationships" r:id="rId11"/>
          <a:extLst>
            <a:ext uri="{FF2B5EF4-FFF2-40B4-BE49-F238E27FC236}">
              <a16:creationId xmlns:a16="http://schemas.microsoft.com/office/drawing/2014/main" id="{4DB13896-AB1D-4DBF-BEED-6EB8231CF744}"/>
            </a:ext>
          </a:extLst>
        </xdr:cNvPr>
        <xdr:cNvPicPr>
          <a:picLocks noChangeAspect="1"/>
        </xdr:cNvPicPr>
      </xdr:nvPicPr>
      <xdr:blipFill>
        <a:blip xmlns:r="http://schemas.openxmlformats.org/officeDocument/2006/relationships" r:embed="rId12"/>
        <a:stretch>
          <a:fillRect/>
        </a:stretch>
      </xdr:blipFill>
      <xdr:spPr>
        <a:xfrm>
          <a:off x="392556" y="2946215"/>
          <a:ext cx="900000" cy="898015"/>
        </a:xfrm>
        <a:prstGeom prst="rect">
          <a:avLst/>
        </a:prstGeom>
      </xdr:spPr>
    </xdr:pic>
    <xdr:clientData/>
  </xdr:twoCellAnchor>
  <xdr:twoCellAnchor editAs="oneCell">
    <xdr:from>
      <xdr:col>0</xdr:col>
      <xdr:colOff>400261</xdr:colOff>
      <xdr:row>23</xdr:row>
      <xdr:rowOff>674</xdr:rowOff>
    </xdr:from>
    <xdr:to>
      <xdr:col>2</xdr:col>
      <xdr:colOff>90026</xdr:colOff>
      <xdr:row>27</xdr:row>
      <xdr:rowOff>138674</xdr:rowOff>
    </xdr:to>
    <xdr:pic>
      <xdr:nvPicPr>
        <xdr:cNvPr id="38" name="Picture 37">
          <a:hlinkClick xmlns:r="http://schemas.openxmlformats.org/officeDocument/2006/relationships" r:id="rId13"/>
          <a:extLst>
            <a:ext uri="{FF2B5EF4-FFF2-40B4-BE49-F238E27FC236}">
              <a16:creationId xmlns:a16="http://schemas.microsoft.com/office/drawing/2014/main" id="{6DB512C5-CED6-477E-B7AE-0A393F21B384}"/>
            </a:ext>
          </a:extLst>
        </xdr:cNvPr>
        <xdr:cNvPicPr>
          <a:picLocks noChangeAspect="1"/>
        </xdr:cNvPicPr>
      </xdr:nvPicPr>
      <xdr:blipFill>
        <a:blip xmlns:r="http://schemas.openxmlformats.org/officeDocument/2006/relationships" r:embed="rId14"/>
        <a:stretch>
          <a:fillRect/>
        </a:stretch>
      </xdr:blipFill>
      <xdr:spPr>
        <a:xfrm rot="16200000">
          <a:off x="400261" y="4382174"/>
          <a:ext cx="900000" cy="900000"/>
        </a:xfrm>
        <a:prstGeom prst="rect">
          <a:avLst/>
        </a:prstGeom>
      </xdr:spPr>
    </xdr:pic>
    <xdr:clientData/>
  </xdr:twoCellAnchor>
  <xdr:twoCellAnchor>
    <xdr:from>
      <xdr:col>0</xdr:col>
      <xdr:colOff>344019</xdr:colOff>
      <xdr:row>5</xdr:row>
      <xdr:rowOff>131108</xdr:rowOff>
    </xdr:from>
    <xdr:to>
      <xdr:col>2</xdr:col>
      <xdr:colOff>134471</xdr:colOff>
      <xdr:row>7</xdr:row>
      <xdr:rowOff>67235</xdr:rowOff>
    </xdr:to>
    <xdr:sp macro="" textlink="">
      <xdr:nvSpPr>
        <xdr:cNvPr id="39" name="TextBox 38">
          <a:hlinkClick xmlns:r="http://schemas.openxmlformats.org/officeDocument/2006/relationships" r:id="rId9"/>
          <a:extLst>
            <a:ext uri="{FF2B5EF4-FFF2-40B4-BE49-F238E27FC236}">
              <a16:creationId xmlns:a16="http://schemas.microsoft.com/office/drawing/2014/main" id="{4AD77DE9-E7B8-4855-9106-65FFB4B77DB5}"/>
            </a:ext>
          </a:extLst>
        </xdr:cNvPr>
        <xdr:cNvSpPr txBox="1"/>
      </xdr:nvSpPr>
      <xdr:spPr>
        <a:xfrm>
          <a:off x="344019" y="1083608"/>
          <a:ext cx="1000687" cy="317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About Data</a:t>
          </a:r>
        </a:p>
      </xdr:txBody>
    </xdr:sp>
    <xdr:clientData/>
  </xdr:twoCellAnchor>
  <xdr:twoCellAnchor>
    <xdr:from>
      <xdr:col>0</xdr:col>
      <xdr:colOff>291354</xdr:colOff>
      <xdr:row>19</xdr:row>
      <xdr:rowOff>179294</xdr:rowOff>
    </xdr:from>
    <xdr:to>
      <xdr:col>2</xdr:col>
      <xdr:colOff>246530</xdr:colOff>
      <xdr:row>21</xdr:row>
      <xdr:rowOff>145676</xdr:rowOff>
    </xdr:to>
    <xdr:sp macro="" textlink="">
      <xdr:nvSpPr>
        <xdr:cNvPr id="44" name="TextBox 43">
          <a:hlinkClick xmlns:r="http://schemas.openxmlformats.org/officeDocument/2006/relationships" r:id="rId11"/>
          <a:extLst>
            <a:ext uri="{FF2B5EF4-FFF2-40B4-BE49-F238E27FC236}">
              <a16:creationId xmlns:a16="http://schemas.microsoft.com/office/drawing/2014/main" id="{256A00EA-0C19-4B2C-A15F-8FD7BAABC25A}"/>
            </a:ext>
          </a:extLst>
        </xdr:cNvPr>
        <xdr:cNvSpPr txBox="1"/>
      </xdr:nvSpPr>
      <xdr:spPr>
        <a:xfrm>
          <a:off x="291354" y="3798794"/>
          <a:ext cx="1165411"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Kpi Summary</a:t>
          </a:r>
        </a:p>
      </xdr:txBody>
    </xdr:sp>
    <xdr:clientData/>
  </xdr:twoCellAnchor>
  <xdr:twoCellAnchor>
    <xdr:from>
      <xdr:col>0</xdr:col>
      <xdr:colOff>190499</xdr:colOff>
      <xdr:row>8</xdr:row>
      <xdr:rowOff>44822</xdr:rowOff>
    </xdr:from>
    <xdr:to>
      <xdr:col>2</xdr:col>
      <xdr:colOff>493059</xdr:colOff>
      <xdr:row>14</xdr:row>
      <xdr:rowOff>44822</xdr:rowOff>
    </xdr:to>
    <xdr:sp macro="" textlink="">
      <xdr:nvSpPr>
        <xdr:cNvPr id="46" name="Rectangle 45">
          <a:extLst>
            <a:ext uri="{FF2B5EF4-FFF2-40B4-BE49-F238E27FC236}">
              <a16:creationId xmlns:a16="http://schemas.microsoft.com/office/drawing/2014/main" id="{488D01E6-8AE4-46AC-B764-01CCA1290019}"/>
            </a:ext>
          </a:extLst>
        </xdr:cNvPr>
        <xdr:cNvSpPr/>
      </xdr:nvSpPr>
      <xdr:spPr>
        <a:xfrm>
          <a:off x="190499" y="1568822"/>
          <a:ext cx="1512795" cy="1143000"/>
        </a:xfrm>
        <a:prstGeom prst="rect">
          <a:avLst/>
        </a:prstGeom>
        <a:gradFill flip="none" rotWithShape="1">
          <a:gsLst>
            <a:gs pos="0">
              <a:srgbClr val="0FA3A3">
                <a:shade val="30000"/>
                <a:satMod val="115000"/>
              </a:srgbClr>
            </a:gs>
            <a:gs pos="50000">
              <a:srgbClr val="0FA3A3">
                <a:shade val="67500"/>
                <a:satMod val="115000"/>
              </a:srgbClr>
            </a:gs>
            <a:gs pos="100000">
              <a:srgbClr val="0FA3A3">
                <a:shade val="100000"/>
                <a:satMod val="115000"/>
              </a:srgb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392206</xdr:colOff>
      <xdr:row>27</xdr:row>
      <xdr:rowOff>78443</xdr:rowOff>
    </xdr:from>
    <xdr:to>
      <xdr:col>2</xdr:col>
      <xdr:colOff>224118</xdr:colOff>
      <xdr:row>29</xdr:row>
      <xdr:rowOff>0</xdr:rowOff>
    </xdr:to>
    <xdr:sp macro="" textlink="">
      <xdr:nvSpPr>
        <xdr:cNvPr id="45" name="TextBox 44">
          <a:hlinkClick xmlns:r="http://schemas.openxmlformats.org/officeDocument/2006/relationships" r:id="rId13"/>
          <a:extLst>
            <a:ext uri="{FF2B5EF4-FFF2-40B4-BE49-F238E27FC236}">
              <a16:creationId xmlns:a16="http://schemas.microsoft.com/office/drawing/2014/main" id="{4AA49F3C-F867-4A94-A9DB-5B49D5859939}"/>
            </a:ext>
          </a:extLst>
        </xdr:cNvPr>
        <xdr:cNvSpPr txBox="1"/>
      </xdr:nvSpPr>
      <xdr:spPr>
        <a:xfrm>
          <a:off x="392206" y="5221943"/>
          <a:ext cx="1042147" cy="302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Contact Me</a:t>
          </a:r>
        </a:p>
      </xdr:txBody>
    </xdr:sp>
    <xdr:clientData/>
  </xdr:twoCellAnchor>
  <xdr:twoCellAnchor editAs="oneCell">
    <xdr:from>
      <xdr:col>0</xdr:col>
      <xdr:colOff>390923</xdr:colOff>
      <xdr:row>8</xdr:row>
      <xdr:rowOff>54746</xdr:rowOff>
    </xdr:from>
    <xdr:to>
      <xdr:col>2</xdr:col>
      <xdr:colOff>80688</xdr:colOff>
      <xdr:row>13</xdr:row>
      <xdr:rowOff>2247</xdr:rowOff>
    </xdr:to>
    <xdr:pic>
      <xdr:nvPicPr>
        <xdr:cNvPr id="35" name="Picture 34">
          <a:hlinkClick xmlns:r="http://schemas.openxmlformats.org/officeDocument/2006/relationships" r:id="rId15"/>
          <a:extLst>
            <a:ext uri="{FF2B5EF4-FFF2-40B4-BE49-F238E27FC236}">
              <a16:creationId xmlns:a16="http://schemas.microsoft.com/office/drawing/2014/main" id="{99FD7ADA-6D7D-48BA-A389-DB1A8006DC98}"/>
            </a:ext>
          </a:extLst>
        </xdr:cNvPr>
        <xdr:cNvPicPr>
          <a:picLocks noChangeAspect="1"/>
        </xdr:cNvPicPr>
      </xdr:nvPicPr>
      <xdr:blipFill>
        <a:blip xmlns:r="http://schemas.openxmlformats.org/officeDocument/2006/relationships" r:embed="rId16"/>
        <a:stretch>
          <a:fillRect/>
        </a:stretch>
      </xdr:blipFill>
      <xdr:spPr>
        <a:xfrm>
          <a:off x="390923" y="1578746"/>
          <a:ext cx="900000" cy="900001"/>
        </a:xfrm>
        <a:prstGeom prst="rect">
          <a:avLst/>
        </a:prstGeom>
      </xdr:spPr>
    </xdr:pic>
    <xdr:clientData/>
  </xdr:twoCellAnchor>
  <xdr:twoCellAnchor>
    <xdr:from>
      <xdr:col>0</xdr:col>
      <xdr:colOff>369795</xdr:colOff>
      <xdr:row>12</xdr:row>
      <xdr:rowOff>67235</xdr:rowOff>
    </xdr:from>
    <xdr:to>
      <xdr:col>2</xdr:col>
      <xdr:colOff>168089</xdr:colOff>
      <xdr:row>14</xdr:row>
      <xdr:rowOff>11206</xdr:rowOff>
    </xdr:to>
    <xdr:sp macro="" textlink="">
      <xdr:nvSpPr>
        <xdr:cNvPr id="43" name="TextBox 42">
          <a:hlinkClick xmlns:r="http://schemas.openxmlformats.org/officeDocument/2006/relationships" r:id="rId15"/>
          <a:extLst>
            <a:ext uri="{FF2B5EF4-FFF2-40B4-BE49-F238E27FC236}">
              <a16:creationId xmlns:a16="http://schemas.microsoft.com/office/drawing/2014/main" id="{A919BD9A-B89E-48B4-8425-FC58CD88539D}"/>
            </a:ext>
          </a:extLst>
        </xdr:cNvPr>
        <xdr:cNvSpPr txBox="1"/>
      </xdr:nvSpPr>
      <xdr:spPr>
        <a:xfrm>
          <a:off x="369795" y="2353235"/>
          <a:ext cx="1008529" cy="32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Dashboard</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0.01591</cdr:x>
      <cdr:y>0.05939</cdr:y>
    </cdr:from>
    <cdr:to>
      <cdr:x>0.14449</cdr:x>
      <cdr:y>0.15956</cdr:y>
    </cdr:to>
    <cdr:sp macro="" textlink="">
      <cdr:nvSpPr>
        <cdr:cNvPr id="2" name="TextBox 1">
          <a:extLst xmlns:a="http://schemas.openxmlformats.org/drawingml/2006/main">
            <a:ext uri="{FF2B5EF4-FFF2-40B4-BE49-F238E27FC236}">
              <a16:creationId xmlns:a16="http://schemas.microsoft.com/office/drawing/2014/main" id="{8BC65B23-4A8D-410C-86B7-E54773E38E19}"/>
            </a:ext>
          </a:extLst>
        </cdr:cNvPr>
        <cdr:cNvSpPr txBox="1"/>
      </cdr:nvSpPr>
      <cdr:spPr>
        <a:xfrm xmlns:a="http://schemas.openxmlformats.org/drawingml/2006/main">
          <a:off x="67635" y="152403"/>
          <a:ext cx="546580" cy="257048"/>
        </a:xfrm>
        <a:prstGeom xmlns:a="http://schemas.openxmlformats.org/drawingml/2006/main" prst="rect">
          <a:avLst/>
        </a:prstGeom>
        <a:solidFill xmlns:a="http://schemas.openxmlformats.org/drawingml/2006/main">
          <a:schemeClr val="bg1"/>
        </a:solidFill>
        <a:effectLst xmlns:a="http://schemas.openxmlformats.org/drawingml/2006/main">
          <a:outerShdw blurRad="50800" dist="38100" dir="2700000" algn="tl" rotWithShape="0">
            <a:prstClr val="black">
              <a:alpha val="40000"/>
            </a:prstClr>
          </a:outerShdw>
        </a:effectLst>
      </cdr:spPr>
      <cdr:txBody>
        <a:bodyPr xmlns:a="http://schemas.openxmlformats.org/drawingml/2006/main" vertOverflow="clip" wrap="square" rtlCol="0"/>
        <a:lstStyle xmlns:a="http://schemas.openxmlformats.org/drawingml/2006/main"/>
        <a:p xmlns:a="http://schemas.openxmlformats.org/drawingml/2006/main">
          <a:r>
            <a:rPr lang="en-ID" sz="800" b="1">
              <a:solidFill>
                <a:schemeClr val="bg1">
                  <a:lumMod val="75000"/>
                </a:schemeClr>
              </a:solidFill>
              <a:latin typeface="Poppins" panose="00000500000000000000" pitchFamily="2" charset="0"/>
              <a:cs typeface="Poppins" panose="00000500000000000000" pitchFamily="2" charset="0"/>
            </a:rPr>
            <a:t>x10000</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606558</xdr:colOff>
      <xdr:row>53</xdr:row>
      <xdr:rowOff>0</xdr:rowOff>
    </xdr:to>
    <xdr:sp macro="" textlink="">
      <xdr:nvSpPr>
        <xdr:cNvPr id="2" name="Rectangle 1">
          <a:extLst>
            <a:ext uri="{FF2B5EF4-FFF2-40B4-BE49-F238E27FC236}">
              <a16:creationId xmlns:a16="http://schemas.microsoft.com/office/drawing/2014/main" id="{122EE825-5B13-4C98-9D64-667DE6F9DF08}"/>
            </a:ext>
          </a:extLst>
        </xdr:cNvPr>
        <xdr:cNvSpPr/>
      </xdr:nvSpPr>
      <xdr:spPr>
        <a:xfrm>
          <a:off x="0" y="0"/>
          <a:ext cx="1831201" cy="10096500"/>
        </a:xfrm>
        <a:prstGeom prst="rect">
          <a:avLst/>
        </a:prstGeom>
        <a:solidFill>
          <a:srgbClr val="0FA3A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446474</xdr:colOff>
      <xdr:row>0</xdr:row>
      <xdr:rowOff>11205</xdr:rowOff>
    </xdr:from>
    <xdr:to>
      <xdr:col>2</xdr:col>
      <xdr:colOff>590869</xdr:colOff>
      <xdr:row>53</xdr:row>
      <xdr:rowOff>0</xdr:rowOff>
    </xdr:to>
    <xdr:sp macro="" textlink="">
      <xdr:nvSpPr>
        <xdr:cNvPr id="3" name="Rectangle 2">
          <a:extLst>
            <a:ext uri="{FF2B5EF4-FFF2-40B4-BE49-F238E27FC236}">
              <a16:creationId xmlns:a16="http://schemas.microsoft.com/office/drawing/2014/main" id="{41786489-77E3-4800-B420-6ACB9F741BDF}"/>
            </a:ext>
          </a:extLst>
        </xdr:cNvPr>
        <xdr:cNvSpPr/>
      </xdr:nvSpPr>
      <xdr:spPr>
        <a:xfrm>
          <a:off x="1671117" y="11205"/>
          <a:ext cx="144395" cy="10085295"/>
        </a:xfrm>
        <a:prstGeom prst="rect">
          <a:avLst/>
        </a:prstGeom>
        <a:gradFill flip="none" rotWithShape="1">
          <a:gsLst>
            <a:gs pos="0">
              <a:srgbClr val="0FA3A3">
                <a:shade val="30000"/>
                <a:satMod val="115000"/>
              </a:srgbClr>
            </a:gs>
            <a:gs pos="50000">
              <a:srgbClr val="0FA3A3">
                <a:shade val="67500"/>
                <a:satMod val="115000"/>
              </a:srgbClr>
            </a:gs>
            <a:gs pos="100000">
              <a:srgbClr val="0FA3A3">
                <a:shade val="100000"/>
                <a:satMod val="115000"/>
              </a:srgbClr>
            </a:gs>
          </a:gsLst>
          <a:lin ang="108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0</xdr:col>
      <xdr:colOff>367575</xdr:colOff>
      <xdr:row>1</xdr:row>
      <xdr:rowOff>89647</xdr:rowOff>
    </xdr:from>
    <xdr:to>
      <xdr:col>2</xdr:col>
      <xdr:colOff>62783</xdr:colOff>
      <xdr:row>6</xdr:row>
      <xdr:rowOff>37147</xdr:rowOff>
    </xdr:to>
    <xdr:pic>
      <xdr:nvPicPr>
        <xdr:cNvPr id="4" name="Picture 3">
          <a:hlinkClick xmlns:r="http://schemas.openxmlformats.org/officeDocument/2006/relationships" r:id="rId1"/>
          <a:extLst>
            <a:ext uri="{FF2B5EF4-FFF2-40B4-BE49-F238E27FC236}">
              <a16:creationId xmlns:a16="http://schemas.microsoft.com/office/drawing/2014/main" id="{B38F22CC-34D0-4A64-801D-3983392E972D}"/>
            </a:ext>
          </a:extLst>
        </xdr:cNvPr>
        <xdr:cNvPicPr>
          <a:picLocks noChangeAspect="1"/>
        </xdr:cNvPicPr>
      </xdr:nvPicPr>
      <xdr:blipFill>
        <a:blip xmlns:r="http://schemas.openxmlformats.org/officeDocument/2006/relationships" r:embed="rId2"/>
        <a:stretch>
          <a:fillRect/>
        </a:stretch>
      </xdr:blipFill>
      <xdr:spPr>
        <a:xfrm>
          <a:off x="367575" y="280147"/>
          <a:ext cx="914408" cy="900000"/>
        </a:xfrm>
        <a:prstGeom prst="rect">
          <a:avLst/>
        </a:prstGeom>
      </xdr:spPr>
    </xdr:pic>
    <xdr:clientData/>
  </xdr:twoCellAnchor>
  <xdr:twoCellAnchor editAs="oneCell">
    <xdr:from>
      <xdr:col>0</xdr:col>
      <xdr:colOff>389055</xdr:colOff>
      <xdr:row>23</xdr:row>
      <xdr:rowOff>674</xdr:rowOff>
    </xdr:from>
    <xdr:to>
      <xdr:col>2</xdr:col>
      <xdr:colOff>84263</xdr:colOff>
      <xdr:row>27</xdr:row>
      <xdr:rowOff>138674</xdr:rowOff>
    </xdr:to>
    <xdr:pic>
      <xdr:nvPicPr>
        <xdr:cNvPr id="6" name="Picture 5">
          <a:hlinkClick xmlns:r="http://schemas.openxmlformats.org/officeDocument/2006/relationships" r:id="rId3"/>
          <a:extLst>
            <a:ext uri="{FF2B5EF4-FFF2-40B4-BE49-F238E27FC236}">
              <a16:creationId xmlns:a16="http://schemas.microsoft.com/office/drawing/2014/main" id="{EFA61486-694C-4F8D-B94F-54198E0D95A0}"/>
            </a:ext>
          </a:extLst>
        </xdr:cNvPr>
        <xdr:cNvPicPr>
          <a:picLocks noChangeAspect="1"/>
        </xdr:cNvPicPr>
      </xdr:nvPicPr>
      <xdr:blipFill>
        <a:blip xmlns:r="http://schemas.openxmlformats.org/officeDocument/2006/relationships" r:embed="rId4"/>
        <a:stretch>
          <a:fillRect/>
        </a:stretch>
      </xdr:blipFill>
      <xdr:spPr>
        <a:xfrm rot="16200000">
          <a:off x="396259" y="4374970"/>
          <a:ext cx="900000" cy="914408"/>
        </a:xfrm>
        <a:prstGeom prst="rect">
          <a:avLst/>
        </a:prstGeom>
      </xdr:spPr>
    </xdr:pic>
    <xdr:clientData/>
  </xdr:twoCellAnchor>
  <xdr:twoCellAnchor>
    <xdr:from>
      <xdr:col>0</xdr:col>
      <xdr:colOff>332813</xdr:colOff>
      <xdr:row>5</xdr:row>
      <xdr:rowOff>131108</xdr:rowOff>
    </xdr:from>
    <xdr:to>
      <xdr:col>2</xdr:col>
      <xdr:colOff>128708</xdr:colOff>
      <xdr:row>7</xdr:row>
      <xdr:rowOff>67235</xdr:rowOff>
    </xdr:to>
    <xdr:sp macro="" textlink="">
      <xdr:nvSpPr>
        <xdr:cNvPr id="7" name="TextBox 6">
          <a:hlinkClick xmlns:r="http://schemas.openxmlformats.org/officeDocument/2006/relationships" r:id="rId1"/>
          <a:extLst>
            <a:ext uri="{FF2B5EF4-FFF2-40B4-BE49-F238E27FC236}">
              <a16:creationId xmlns:a16="http://schemas.microsoft.com/office/drawing/2014/main" id="{9549AA20-C9C4-43FA-BBEF-339743D06729}"/>
            </a:ext>
          </a:extLst>
        </xdr:cNvPr>
        <xdr:cNvSpPr txBox="1"/>
      </xdr:nvSpPr>
      <xdr:spPr>
        <a:xfrm>
          <a:off x="332813" y="1083608"/>
          <a:ext cx="1015095" cy="317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About Data</a:t>
          </a:r>
        </a:p>
      </xdr:txBody>
    </xdr:sp>
    <xdr:clientData/>
  </xdr:twoCellAnchor>
  <xdr:twoCellAnchor>
    <xdr:from>
      <xdr:col>0</xdr:col>
      <xdr:colOff>178386</xdr:colOff>
      <xdr:row>15</xdr:row>
      <xdr:rowOff>60243</xdr:rowOff>
    </xdr:from>
    <xdr:to>
      <xdr:col>2</xdr:col>
      <xdr:colOff>486389</xdr:colOff>
      <xdr:row>21</xdr:row>
      <xdr:rowOff>60243</xdr:rowOff>
    </xdr:to>
    <xdr:sp macro="" textlink="">
      <xdr:nvSpPr>
        <xdr:cNvPr id="9" name="Rectangle 8">
          <a:extLst>
            <a:ext uri="{FF2B5EF4-FFF2-40B4-BE49-F238E27FC236}">
              <a16:creationId xmlns:a16="http://schemas.microsoft.com/office/drawing/2014/main" id="{F8663183-B622-4454-AE3A-0A63FBBE16BC}"/>
            </a:ext>
          </a:extLst>
        </xdr:cNvPr>
        <xdr:cNvSpPr/>
      </xdr:nvSpPr>
      <xdr:spPr>
        <a:xfrm>
          <a:off x="178386" y="2917743"/>
          <a:ext cx="1527203" cy="1143000"/>
        </a:xfrm>
        <a:prstGeom prst="rect">
          <a:avLst/>
        </a:prstGeom>
        <a:gradFill flip="none" rotWithShape="1">
          <a:gsLst>
            <a:gs pos="0">
              <a:srgbClr val="0FA3A3">
                <a:shade val="30000"/>
                <a:satMod val="115000"/>
              </a:srgbClr>
            </a:gs>
            <a:gs pos="50000">
              <a:srgbClr val="0FA3A3">
                <a:shade val="67500"/>
                <a:satMod val="115000"/>
              </a:srgbClr>
            </a:gs>
            <a:gs pos="100000">
              <a:srgbClr val="0FA3A3">
                <a:shade val="100000"/>
                <a:satMod val="115000"/>
              </a:srgb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381000</xdr:colOff>
      <xdr:row>27</xdr:row>
      <xdr:rowOff>78443</xdr:rowOff>
    </xdr:from>
    <xdr:to>
      <xdr:col>2</xdr:col>
      <xdr:colOff>218355</xdr:colOff>
      <xdr:row>29</xdr:row>
      <xdr:rowOff>0</xdr:rowOff>
    </xdr:to>
    <xdr:sp macro="" textlink="">
      <xdr:nvSpPr>
        <xdr:cNvPr id="10" name="TextBox 9">
          <a:hlinkClick xmlns:r="http://schemas.openxmlformats.org/officeDocument/2006/relationships" r:id="rId3"/>
          <a:extLst>
            <a:ext uri="{FF2B5EF4-FFF2-40B4-BE49-F238E27FC236}">
              <a16:creationId xmlns:a16="http://schemas.microsoft.com/office/drawing/2014/main" id="{3BEF8EAD-C9B6-4271-9F7A-A2AE69650065}"/>
            </a:ext>
          </a:extLst>
        </xdr:cNvPr>
        <xdr:cNvSpPr txBox="1"/>
      </xdr:nvSpPr>
      <xdr:spPr>
        <a:xfrm>
          <a:off x="381000" y="5221943"/>
          <a:ext cx="1056555" cy="302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Contact Me</a:t>
          </a:r>
        </a:p>
      </xdr:txBody>
    </xdr:sp>
    <xdr:clientData/>
  </xdr:twoCellAnchor>
  <xdr:twoCellAnchor editAs="oneCell">
    <xdr:from>
      <xdr:col>0</xdr:col>
      <xdr:colOff>379717</xdr:colOff>
      <xdr:row>8</xdr:row>
      <xdr:rowOff>54746</xdr:rowOff>
    </xdr:from>
    <xdr:to>
      <xdr:col>2</xdr:col>
      <xdr:colOff>74925</xdr:colOff>
      <xdr:row>13</xdr:row>
      <xdr:rowOff>2247</xdr:rowOff>
    </xdr:to>
    <xdr:pic>
      <xdr:nvPicPr>
        <xdr:cNvPr id="11" name="Picture 10">
          <a:hlinkClick xmlns:r="http://schemas.openxmlformats.org/officeDocument/2006/relationships" r:id="rId5"/>
          <a:extLst>
            <a:ext uri="{FF2B5EF4-FFF2-40B4-BE49-F238E27FC236}">
              <a16:creationId xmlns:a16="http://schemas.microsoft.com/office/drawing/2014/main" id="{84F5DC5B-B050-4496-9230-F37F8B468BAD}"/>
            </a:ext>
          </a:extLst>
        </xdr:cNvPr>
        <xdr:cNvPicPr>
          <a:picLocks noChangeAspect="1"/>
        </xdr:cNvPicPr>
      </xdr:nvPicPr>
      <xdr:blipFill>
        <a:blip xmlns:r="http://schemas.openxmlformats.org/officeDocument/2006/relationships" r:embed="rId6"/>
        <a:stretch>
          <a:fillRect/>
        </a:stretch>
      </xdr:blipFill>
      <xdr:spPr>
        <a:xfrm>
          <a:off x="379717" y="1578746"/>
          <a:ext cx="914408" cy="900001"/>
        </a:xfrm>
        <a:prstGeom prst="rect">
          <a:avLst/>
        </a:prstGeom>
      </xdr:spPr>
    </xdr:pic>
    <xdr:clientData/>
  </xdr:twoCellAnchor>
  <xdr:twoCellAnchor>
    <xdr:from>
      <xdr:col>0</xdr:col>
      <xdr:colOff>358589</xdr:colOff>
      <xdr:row>12</xdr:row>
      <xdr:rowOff>67235</xdr:rowOff>
    </xdr:from>
    <xdr:to>
      <xdr:col>2</xdr:col>
      <xdr:colOff>162326</xdr:colOff>
      <xdr:row>14</xdr:row>
      <xdr:rowOff>11206</xdr:rowOff>
    </xdr:to>
    <xdr:sp macro="" textlink="">
      <xdr:nvSpPr>
        <xdr:cNvPr id="12" name="TextBox 11">
          <a:hlinkClick xmlns:r="http://schemas.openxmlformats.org/officeDocument/2006/relationships" r:id="rId5"/>
          <a:extLst>
            <a:ext uri="{FF2B5EF4-FFF2-40B4-BE49-F238E27FC236}">
              <a16:creationId xmlns:a16="http://schemas.microsoft.com/office/drawing/2014/main" id="{FD4E43A2-226F-41DF-BCA6-70C1C469EEE3}"/>
            </a:ext>
          </a:extLst>
        </xdr:cNvPr>
        <xdr:cNvSpPr txBox="1"/>
      </xdr:nvSpPr>
      <xdr:spPr>
        <a:xfrm>
          <a:off x="358589" y="2353235"/>
          <a:ext cx="1022937" cy="32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Dashboard</a:t>
          </a:r>
        </a:p>
      </xdr:txBody>
    </xdr:sp>
    <xdr:clientData/>
  </xdr:twoCellAnchor>
  <xdr:twoCellAnchor editAs="oneCell">
    <xdr:from>
      <xdr:col>0</xdr:col>
      <xdr:colOff>381350</xdr:colOff>
      <xdr:row>15</xdr:row>
      <xdr:rowOff>88715</xdr:rowOff>
    </xdr:from>
    <xdr:to>
      <xdr:col>2</xdr:col>
      <xdr:colOff>76558</xdr:colOff>
      <xdr:row>20</xdr:row>
      <xdr:rowOff>34230</xdr:rowOff>
    </xdr:to>
    <xdr:pic>
      <xdr:nvPicPr>
        <xdr:cNvPr id="5" name="Picture 4">
          <a:hlinkClick xmlns:r="http://schemas.openxmlformats.org/officeDocument/2006/relationships" r:id="rId7"/>
          <a:extLst>
            <a:ext uri="{FF2B5EF4-FFF2-40B4-BE49-F238E27FC236}">
              <a16:creationId xmlns:a16="http://schemas.microsoft.com/office/drawing/2014/main" id="{09C0664E-CFDD-4429-B934-A9A48A8DCE98}"/>
            </a:ext>
          </a:extLst>
        </xdr:cNvPr>
        <xdr:cNvPicPr>
          <a:picLocks noChangeAspect="1"/>
        </xdr:cNvPicPr>
      </xdr:nvPicPr>
      <xdr:blipFill>
        <a:blip xmlns:r="http://schemas.openxmlformats.org/officeDocument/2006/relationships" r:embed="rId8"/>
        <a:stretch>
          <a:fillRect/>
        </a:stretch>
      </xdr:blipFill>
      <xdr:spPr>
        <a:xfrm>
          <a:off x="381350" y="2946215"/>
          <a:ext cx="914408" cy="898015"/>
        </a:xfrm>
        <a:prstGeom prst="rect">
          <a:avLst/>
        </a:prstGeom>
      </xdr:spPr>
    </xdr:pic>
    <xdr:clientData/>
  </xdr:twoCellAnchor>
  <xdr:twoCellAnchor>
    <xdr:from>
      <xdr:col>0</xdr:col>
      <xdr:colOff>280148</xdr:colOff>
      <xdr:row>19</xdr:row>
      <xdr:rowOff>179294</xdr:rowOff>
    </xdr:from>
    <xdr:to>
      <xdr:col>2</xdr:col>
      <xdr:colOff>240767</xdr:colOff>
      <xdr:row>21</xdr:row>
      <xdr:rowOff>145676</xdr:rowOff>
    </xdr:to>
    <xdr:sp macro="" textlink="">
      <xdr:nvSpPr>
        <xdr:cNvPr id="8" name="TextBox 7">
          <a:hlinkClick xmlns:r="http://schemas.openxmlformats.org/officeDocument/2006/relationships" r:id="rId7"/>
          <a:extLst>
            <a:ext uri="{FF2B5EF4-FFF2-40B4-BE49-F238E27FC236}">
              <a16:creationId xmlns:a16="http://schemas.microsoft.com/office/drawing/2014/main" id="{70A4B3A8-1166-4C2A-B469-375D9774267E}"/>
            </a:ext>
          </a:extLst>
        </xdr:cNvPr>
        <xdr:cNvSpPr txBox="1"/>
      </xdr:nvSpPr>
      <xdr:spPr>
        <a:xfrm>
          <a:off x="280148" y="3798794"/>
          <a:ext cx="1179819"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Kpi Summary</a:t>
          </a:r>
        </a:p>
      </xdr:txBody>
    </xdr:sp>
    <xdr:clientData/>
  </xdr:twoCellAnchor>
  <xdr:twoCellAnchor>
    <xdr:from>
      <xdr:col>4</xdr:col>
      <xdr:colOff>25400</xdr:colOff>
      <xdr:row>1</xdr:row>
      <xdr:rowOff>139700</xdr:rowOff>
    </xdr:from>
    <xdr:to>
      <xdr:col>9</xdr:col>
      <xdr:colOff>101600</xdr:colOff>
      <xdr:row>5</xdr:row>
      <xdr:rowOff>63500</xdr:rowOff>
    </xdr:to>
    <xdr:sp macro="" textlink="">
      <xdr:nvSpPr>
        <xdr:cNvPr id="13" name="Rectangle 12">
          <a:extLst>
            <a:ext uri="{FF2B5EF4-FFF2-40B4-BE49-F238E27FC236}">
              <a16:creationId xmlns:a16="http://schemas.microsoft.com/office/drawing/2014/main" id="{38995DCE-C0D3-49A9-B34D-6B73A3455C00}"/>
            </a:ext>
          </a:extLst>
        </xdr:cNvPr>
        <xdr:cNvSpPr/>
      </xdr:nvSpPr>
      <xdr:spPr>
        <a:xfrm>
          <a:off x="2463800" y="330200"/>
          <a:ext cx="3124200" cy="685800"/>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4</xdr:col>
      <xdr:colOff>152400</xdr:colOff>
      <xdr:row>2</xdr:row>
      <xdr:rowOff>165100</xdr:rowOff>
    </xdr:from>
    <xdr:to>
      <xdr:col>9</xdr:col>
      <xdr:colOff>228600</xdr:colOff>
      <xdr:row>5</xdr:row>
      <xdr:rowOff>152400</xdr:rowOff>
    </xdr:to>
    <xdr:sp macro="" textlink="">
      <xdr:nvSpPr>
        <xdr:cNvPr id="14" name="Rectangle 13">
          <a:extLst>
            <a:ext uri="{FF2B5EF4-FFF2-40B4-BE49-F238E27FC236}">
              <a16:creationId xmlns:a16="http://schemas.microsoft.com/office/drawing/2014/main" id="{B93EBB82-2138-4AEE-87AA-95C8DF22A125}"/>
            </a:ext>
          </a:extLst>
        </xdr:cNvPr>
        <xdr:cNvSpPr/>
      </xdr:nvSpPr>
      <xdr:spPr>
        <a:xfrm>
          <a:off x="2590800" y="546100"/>
          <a:ext cx="3124200" cy="558800"/>
        </a:xfrm>
        <a:prstGeom prst="rect">
          <a:avLst/>
        </a:prstGeom>
        <a:solidFill>
          <a:srgbClr val="33CCCC"/>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101600</xdr:colOff>
      <xdr:row>1</xdr:row>
      <xdr:rowOff>165100</xdr:rowOff>
    </xdr:from>
    <xdr:to>
      <xdr:col>15</xdr:col>
      <xdr:colOff>177800</xdr:colOff>
      <xdr:row>5</xdr:row>
      <xdr:rowOff>88900</xdr:rowOff>
    </xdr:to>
    <xdr:sp macro="" textlink="">
      <xdr:nvSpPr>
        <xdr:cNvPr id="15" name="Rectangle 14">
          <a:extLst>
            <a:ext uri="{FF2B5EF4-FFF2-40B4-BE49-F238E27FC236}">
              <a16:creationId xmlns:a16="http://schemas.microsoft.com/office/drawing/2014/main" id="{DC572981-D5C3-42AE-945E-E894102180A4}"/>
            </a:ext>
          </a:extLst>
        </xdr:cNvPr>
        <xdr:cNvSpPr/>
      </xdr:nvSpPr>
      <xdr:spPr>
        <a:xfrm>
          <a:off x="6197600" y="355600"/>
          <a:ext cx="3124200" cy="685800"/>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10</xdr:col>
      <xdr:colOff>228600</xdr:colOff>
      <xdr:row>3</xdr:row>
      <xdr:rowOff>0</xdr:rowOff>
    </xdr:from>
    <xdr:to>
      <xdr:col>15</xdr:col>
      <xdr:colOff>304800</xdr:colOff>
      <xdr:row>5</xdr:row>
      <xdr:rowOff>177800</xdr:rowOff>
    </xdr:to>
    <xdr:sp macro="" textlink="">
      <xdr:nvSpPr>
        <xdr:cNvPr id="16" name="Rectangle 15">
          <a:extLst>
            <a:ext uri="{FF2B5EF4-FFF2-40B4-BE49-F238E27FC236}">
              <a16:creationId xmlns:a16="http://schemas.microsoft.com/office/drawing/2014/main" id="{A2B1F7B1-1B70-4611-8425-CD58F78899BE}"/>
            </a:ext>
          </a:extLst>
        </xdr:cNvPr>
        <xdr:cNvSpPr/>
      </xdr:nvSpPr>
      <xdr:spPr>
        <a:xfrm>
          <a:off x="6324600" y="571500"/>
          <a:ext cx="3124200" cy="558800"/>
        </a:xfrm>
        <a:prstGeom prst="rect">
          <a:avLst/>
        </a:prstGeom>
        <a:solidFill>
          <a:srgbClr val="33CCCC"/>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16</xdr:col>
      <xdr:colOff>254000</xdr:colOff>
      <xdr:row>1</xdr:row>
      <xdr:rowOff>177800</xdr:rowOff>
    </xdr:from>
    <xdr:to>
      <xdr:col>21</xdr:col>
      <xdr:colOff>330200</xdr:colOff>
      <xdr:row>5</xdr:row>
      <xdr:rowOff>101600</xdr:rowOff>
    </xdr:to>
    <xdr:sp macro="" textlink="">
      <xdr:nvSpPr>
        <xdr:cNvPr id="17" name="Rectangle 16">
          <a:extLst>
            <a:ext uri="{FF2B5EF4-FFF2-40B4-BE49-F238E27FC236}">
              <a16:creationId xmlns:a16="http://schemas.microsoft.com/office/drawing/2014/main" id="{16D1B066-E432-4449-994D-3110D48941C9}"/>
            </a:ext>
          </a:extLst>
        </xdr:cNvPr>
        <xdr:cNvSpPr/>
      </xdr:nvSpPr>
      <xdr:spPr>
        <a:xfrm>
          <a:off x="10007600" y="368300"/>
          <a:ext cx="3124200" cy="685800"/>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16</xdr:col>
      <xdr:colOff>381000</xdr:colOff>
      <xdr:row>3</xdr:row>
      <xdr:rowOff>12700</xdr:rowOff>
    </xdr:from>
    <xdr:to>
      <xdr:col>21</xdr:col>
      <xdr:colOff>457200</xdr:colOff>
      <xdr:row>6</xdr:row>
      <xdr:rowOff>0</xdr:rowOff>
    </xdr:to>
    <xdr:sp macro="" textlink="">
      <xdr:nvSpPr>
        <xdr:cNvPr id="18" name="Rectangle 17">
          <a:extLst>
            <a:ext uri="{FF2B5EF4-FFF2-40B4-BE49-F238E27FC236}">
              <a16:creationId xmlns:a16="http://schemas.microsoft.com/office/drawing/2014/main" id="{A8A23A9D-C2EF-4B6D-947A-21F9B1E4BF4C}"/>
            </a:ext>
          </a:extLst>
        </xdr:cNvPr>
        <xdr:cNvSpPr/>
      </xdr:nvSpPr>
      <xdr:spPr>
        <a:xfrm>
          <a:off x="10134600" y="584200"/>
          <a:ext cx="3124200" cy="558800"/>
        </a:xfrm>
        <a:prstGeom prst="rect">
          <a:avLst/>
        </a:prstGeom>
        <a:solidFill>
          <a:srgbClr val="33CCCC"/>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228600</xdr:colOff>
      <xdr:row>7</xdr:row>
      <xdr:rowOff>38100</xdr:rowOff>
    </xdr:from>
    <xdr:to>
      <xdr:col>22</xdr:col>
      <xdr:colOff>292100</xdr:colOff>
      <xdr:row>7</xdr:row>
      <xdr:rowOff>38100</xdr:rowOff>
    </xdr:to>
    <xdr:cxnSp macro="">
      <xdr:nvCxnSpPr>
        <xdr:cNvPr id="20" name="Straight Connector 19">
          <a:extLst>
            <a:ext uri="{FF2B5EF4-FFF2-40B4-BE49-F238E27FC236}">
              <a16:creationId xmlns:a16="http://schemas.microsoft.com/office/drawing/2014/main" id="{E8E4E41C-2FA3-4ED8-BC5D-53815ECC921D}"/>
            </a:ext>
          </a:extLst>
        </xdr:cNvPr>
        <xdr:cNvCxnSpPr/>
      </xdr:nvCxnSpPr>
      <xdr:spPr>
        <a:xfrm>
          <a:off x="2667000" y="1371600"/>
          <a:ext cx="11036300" cy="0"/>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25400</xdr:colOff>
      <xdr:row>8</xdr:row>
      <xdr:rowOff>101600</xdr:rowOff>
    </xdr:from>
    <xdr:to>
      <xdr:col>21</xdr:col>
      <xdr:colOff>495300</xdr:colOff>
      <xdr:row>11</xdr:row>
      <xdr:rowOff>12700</xdr:rowOff>
    </xdr:to>
    <xdr:sp macro="" textlink="">
      <xdr:nvSpPr>
        <xdr:cNvPr id="21" name="Rectangle 20">
          <a:extLst>
            <a:ext uri="{FF2B5EF4-FFF2-40B4-BE49-F238E27FC236}">
              <a16:creationId xmlns:a16="http://schemas.microsoft.com/office/drawing/2014/main" id="{B68DD947-8CC2-44E9-9D92-BAF155BB7E02}"/>
            </a:ext>
          </a:extLst>
        </xdr:cNvPr>
        <xdr:cNvSpPr/>
      </xdr:nvSpPr>
      <xdr:spPr>
        <a:xfrm>
          <a:off x="2463800" y="1625600"/>
          <a:ext cx="10833100" cy="482600"/>
        </a:xfrm>
        <a:prstGeom prst="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25400</xdr:colOff>
      <xdr:row>11</xdr:row>
      <xdr:rowOff>152400</xdr:rowOff>
    </xdr:from>
    <xdr:to>
      <xdr:col>21</xdr:col>
      <xdr:colOff>495300</xdr:colOff>
      <xdr:row>14</xdr:row>
      <xdr:rowOff>63500</xdr:rowOff>
    </xdr:to>
    <xdr:sp macro="" textlink="">
      <xdr:nvSpPr>
        <xdr:cNvPr id="22" name="Rectangle 21">
          <a:extLst>
            <a:ext uri="{FF2B5EF4-FFF2-40B4-BE49-F238E27FC236}">
              <a16:creationId xmlns:a16="http://schemas.microsoft.com/office/drawing/2014/main" id="{8FC01637-1E68-4307-95A5-3372D3E8BCE9}"/>
            </a:ext>
          </a:extLst>
        </xdr:cNvPr>
        <xdr:cNvSpPr/>
      </xdr:nvSpPr>
      <xdr:spPr>
        <a:xfrm>
          <a:off x="2463800" y="2247900"/>
          <a:ext cx="10833100" cy="482600"/>
        </a:xfrm>
        <a:prstGeom prst="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12700</xdr:colOff>
      <xdr:row>15</xdr:row>
      <xdr:rowOff>25400</xdr:rowOff>
    </xdr:from>
    <xdr:to>
      <xdr:col>21</xdr:col>
      <xdr:colOff>482600</xdr:colOff>
      <xdr:row>17</xdr:row>
      <xdr:rowOff>127000</xdr:rowOff>
    </xdr:to>
    <xdr:sp macro="" textlink="">
      <xdr:nvSpPr>
        <xdr:cNvPr id="23" name="Rectangle 22">
          <a:extLst>
            <a:ext uri="{FF2B5EF4-FFF2-40B4-BE49-F238E27FC236}">
              <a16:creationId xmlns:a16="http://schemas.microsoft.com/office/drawing/2014/main" id="{2274CCF7-2B2C-4C67-8800-989176BD0A1A}"/>
            </a:ext>
          </a:extLst>
        </xdr:cNvPr>
        <xdr:cNvSpPr/>
      </xdr:nvSpPr>
      <xdr:spPr>
        <a:xfrm>
          <a:off x="2451100" y="2882900"/>
          <a:ext cx="10833100" cy="482600"/>
        </a:xfrm>
        <a:prstGeom prst="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12700</xdr:colOff>
      <xdr:row>18</xdr:row>
      <xdr:rowOff>76200</xdr:rowOff>
    </xdr:from>
    <xdr:to>
      <xdr:col>21</xdr:col>
      <xdr:colOff>482600</xdr:colOff>
      <xdr:row>20</xdr:row>
      <xdr:rowOff>177800</xdr:rowOff>
    </xdr:to>
    <xdr:sp macro="" textlink="">
      <xdr:nvSpPr>
        <xdr:cNvPr id="24" name="Rectangle 23">
          <a:extLst>
            <a:ext uri="{FF2B5EF4-FFF2-40B4-BE49-F238E27FC236}">
              <a16:creationId xmlns:a16="http://schemas.microsoft.com/office/drawing/2014/main" id="{2F611B15-8083-4919-A266-826022FE7CBA}"/>
            </a:ext>
          </a:extLst>
        </xdr:cNvPr>
        <xdr:cNvSpPr/>
      </xdr:nvSpPr>
      <xdr:spPr>
        <a:xfrm>
          <a:off x="2451100" y="3505200"/>
          <a:ext cx="10833100" cy="482600"/>
        </a:xfrm>
        <a:prstGeom prst="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12700</xdr:colOff>
      <xdr:row>21</xdr:row>
      <xdr:rowOff>127000</xdr:rowOff>
    </xdr:from>
    <xdr:to>
      <xdr:col>21</xdr:col>
      <xdr:colOff>482600</xdr:colOff>
      <xdr:row>24</xdr:row>
      <xdr:rowOff>38100</xdr:rowOff>
    </xdr:to>
    <xdr:sp macro="" textlink="">
      <xdr:nvSpPr>
        <xdr:cNvPr id="25" name="Rectangle 24">
          <a:extLst>
            <a:ext uri="{FF2B5EF4-FFF2-40B4-BE49-F238E27FC236}">
              <a16:creationId xmlns:a16="http://schemas.microsoft.com/office/drawing/2014/main" id="{6B047E12-E65A-4532-BAC4-D7E6A3A30942}"/>
            </a:ext>
          </a:extLst>
        </xdr:cNvPr>
        <xdr:cNvSpPr/>
      </xdr:nvSpPr>
      <xdr:spPr>
        <a:xfrm>
          <a:off x="2451100" y="4127500"/>
          <a:ext cx="10833100" cy="482600"/>
        </a:xfrm>
        <a:prstGeom prst="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12700</xdr:colOff>
      <xdr:row>24</xdr:row>
      <xdr:rowOff>177800</xdr:rowOff>
    </xdr:from>
    <xdr:to>
      <xdr:col>21</xdr:col>
      <xdr:colOff>482600</xdr:colOff>
      <xdr:row>27</xdr:row>
      <xdr:rowOff>88900</xdr:rowOff>
    </xdr:to>
    <xdr:sp macro="" textlink="">
      <xdr:nvSpPr>
        <xdr:cNvPr id="26" name="Rectangle 25">
          <a:extLst>
            <a:ext uri="{FF2B5EF4-FFF2-40B4-BE49-F238E27FC236}">
              <a16:creationId xmlns:a16="http://schemas.microsoft.com/office/drawing/2014/main" id="{AF68DFE2-9660-4570-B375-980213CA0365}"/>
            </a:ext>
          </a:extLst>
        </xdr:cNvPr>
        <xdr:cNvSpPr/>
      </xdr:nvSpPr>
      <xdr:spPr>
        <a:xfrm>
          <a:off x="2451100" y="4749800"/>
          <a:ext cx="10833100" cy="482600"/>
        </a:xfrm>
        <a:prstGeom prst="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444500</xdr:colOff>
      <xdr:row>2</xdr:row>
      <xdr:rowOff>152400</xdr:rowOff>
    </xdr:from>
    <xdr:to>
      <xdr:col>8</xdr:col>
      <xdr:colOff>596900</xdr:colOff>
      <xdr:row>5</xdr:row>
      <xdr:rowOff>152400</xdr:rowOff>
    </xdr:to>
    <xdr:sp macro="" textlink="">
      <xdr:nvSpPr>
        <xdr:cNvPr id="28" name="TextBox 27">
          <a:extLst>
            <a:ext uri="{FF2B5EF4-FFF2-40B4-BE49-F238E27FC236}">
              <a16:creationId xmlns:a16="http://schemas.microsoft.com/office/drawing/2014/main" id="{DD5BA44D-89B7-4CF3-9C6E-FB51B2C389E6}"/>
            </a:ext>
          </a:extLst>
        </xdr:cNvPr>
        <xdr:cNvSpPr txBox="1"/>
      </xdr:nvSpPr>
      <xdr:spPr>
        <a:xfrm>
          <a:off x="2882900" y="533400"/>
          <a:ext cx="25908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400" b="1">
              <a:solidFill>
                <a:schemeClr val="bg1"/>
              </a:solidFill>
              <a:latin typeface="Poppins" panose="00000500000000000000" pitchFamily="2" charset="0"/>
              <a:cs typeface="Poppins" panose="00000500000000000000" pitchFamily="2" charset="0"/>
            </a:rPr>
            <a:t>KPI</a:t>
          </a:r>
        </a:p>
      </xdr:txBody>
    </xdr:sp>
    <xdr:clientData/>
  </xdr:twoCellAnchor>
  <xdr:twoCellAnchor>
    <xdr:from>
      <xdr:col>10</xdr:col>
      <xdr:colOff>254000</xdr:colOff>
      <xdr:row>3</xdr:row>
      <xdr:rowOff>0</xdr:rowOff>
    </xdr:from>
    <xdr:to>
      <xdr:col>15</xdr:col>
      <xdr:colOff>304800</xdr:colOff>
      <xdr:row>6</xdr:row>
      <xdr:rowOff>0</xdr:rowOff>
    </xdr:to>
    <xdr:sp macro="" textlink="">
      <xdr:nvSpPr>
        <xdr:cNvPr id="29" name="TextBox 28">
          <a:extLst>
            <a:ext uri="{FF2B5EF4-FFF2-40B4-BE49-F238E27FC236}">
              <a16:creationId xmlns:a16="http://schemas.microsoft.com/office/drawing/2014/main" id="{B5306D54-0254-4A93-B570-B56F7BA47836}"/>
            </a:ext>
          </a:extLst>
        </xdr:cNvPr>
        <xdr:cNvSpPr txBox="1"/>
      </xdr:nvSpPr>
      <xdr:spPr>
        <a:xfrm>
          <a:off x="6350000" y="571500"/>
          <a:ext cx="30988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400" b="1">
              <a:solidFill>
                <a:schemeClr val="bg1"/>
              </a:solidFill>
              <a:latin typeface="Poppins" panose="00000500000000000000" pitchFamily="2" charset="0"/>
              <a:cs typeface="Poppins" panose="00000500000000000000" pitchFamily="2" charset="0"/>
            </a:rPr>
            <a:t>NILAI</a:t>
          </a:r>
        </a:p>
      </xdr:txBody>
    </xdr:sp>
    <xdr:clientData/>
  </xdr:twoCellAnchor>
  <xdr:twoCellAnchor>
    <xdr:from>
      <xdr:col>16</xdr:col>
      <xdr:colOff>381000</xdr:colOff>
      <xdr:row>3</xdr:row>
      <xdr:rowOff>0</xdr:rowOff>
    </xdr:from>
    <xdr:to>
      <xdr:col>21</xdr:col>
      <xdr:colOff>431800</xdr:colOff>
      <xdr:row>6</xdr:row>
      <xdr:rowOff>0</xdr:rowOff>
    </xdr:to>
    <xdr:sp macro="" textlink="">
      <xdr:nvSpPr>
        <xdr:cNvPr id="30" name="TextBox 29">
          <a:extLst>
            <a:ext uri="{FF2B5EF4-FFF2-40B4-BE49-F238E27FC236}">
              <a16:creationId xmlns:a16="http://schemas.microsoft.com/office/drawing/2014/main" id="{ED29E2AA-7100-41E1-9E99-C5DCFA0A97E1}"/>
            </a:ext>
          </a:extLst>
        </xdr:cNvPr>
        <xdr:cNvSpPr txBox="1"/>
      </xdr:nvSpPr>
      <xdr:spPr>
        <a:xfrm>
          <a:off x="10134600" y="571500"/>
          <a:ext cx="30988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400" b="1">
              <a:solidFill>
                <a:schemeClr val="bg1"/>
              </a:solidFill>
              <a:latin typeface="Poppins" panose="00000500000000000000" pitchFamily="2" charset="0"/>
              <a:cs typeface="Poppins" panose="00000500000000000000" pitchFamily="2" charset="0"/>
            </a:rPr>
            <a:t>KETERANGAN</a:t>
          </a:r>
        </a:p>
      </xdr:txBody>
    </xdr:sp>
    <xdr:clientData/>
  </xdr:twoCellAnchor>
  <xdr:twoCellAnchor>
    <xdr:from>
      <xdr:col>4</xdr:col>
      <xdr:colOff>127000</xdr:colOff>
      <xdr:row>8</xdr:row>
      <xdr:rowOff>127000</xdr:rowOff>
    </xdr:from>
    <xdr:to>
      <xdr:col>9</xdr:col>
      <xdr:colOff>596900</xdr:colOff>
      <xdr:row>11</xdr:row>
      <xdr:rowOff>25400</xdr:rowOff>
    </xdr:to>
    <xdr:sp macro="" textlink="">
      <xdr:nvSpPr>
        <xdr:cNvPr id="31" name="Rectangle 30">
          <a:extLst>
            <a:ext uri="{FF2B5EF4-FFF2-40B4-BE49-F238E27FC236}">
              <a16:creationId xmlns:a16="http://schemas.microsoft.com/office/drawing/2014/main" id="{BC2D1D2A-EA32-425A-9ECD-1BC6B2CE7DC5}"/>
            </a:ext>
          </a:extLst>
        </xdr:cNvPr>
        <xdr:cNvSpPr/>
      </xdr:nvSpPr>
      <xdr:spPr>
        <a:xfrm>
          <a:off x="2565400" y="16510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600">
              <a:solidFill>
                <a:srgbClr val="0FA3A3"/>
              </a:solidFill>
              <a:latin typeface="Poppins" panose="00000500000000000000" pitchFamily="2" charset="0"/>
              <a:cs typeface="Poppins" panose="00000500000000000000" pitchFamily="2" charset="0"/>
            </a:rPr>
            <a:t>TOTAL</a:t>
          </a:r>
          <a:r>
            <a:rPr lang="en-ID" sz="1600" baseline="0">
              <a:solidFill>
                <a:srgbClr val="0FA3A3"/>
              </a:solidFill>
              <a:latin typeface="Poppins" panose="00000500000000000000" pitchFamily="2" charset="0"/>
              <a:cs typeface="Poppins" panose="00000500000000000000" pitchFamily="2" charset="0"/>
            </a:rPr>
            <a:t> REVENUE</a:t>
          </a:r>
          <a:endParaRPr lang="en-ID" sz="1600">
            <a:solidFill>
              <a:srgbClr val="0FA3A3"/>
            </a:solidFill>
            <a:latin typeface="Poppins" panose="00000500000000000000" pitchFamily="2" charset="0"/>
            <a:cs typeface="Poppins" panose="00000500000000000000" pitchFamily="2" charset="0"/>
          </a:endParaRPr>
        </a:p>
      </xdr:txBody>
    </xdr:sp>
    <xdr:clientData/>
  </xdr:twoCellAnchor>
  <xdr:twoCellAnchor>
    <xdr:from>
      <xdr:col>4</xdr:col>
      <xdr:colOff>127000</xdr:colOff>
      <xdr:row>11</xdr:row>
      <xdr:rowOff>177800</xdr:rowOff>
    </xdr:from>
    <xdr:to>
      <xdr:col>9</xdr:col>
      <xdr:colOff>596900</xdr:colOff>
      <xdr:row>14</xdr:row>
      <xdr:rowOff>76200</xdr:rowOff>
    </xdr:to>
    <xdr:sp macro="" textlink="">
      <xdr:nvSpPr>
        <xdr:cNvPr id="32" name="Rectangle 31">
          <a:extLst>
            <a:ext uri="{FF2B5EF4-FFF2-40B4-BE49-F238E27FC236}">
              <a16:creationId xmlns:a16="http://schemas.microsoft.com/office/drawing/2014/main" id="{9273B250-3453-4BA1-A6BE-5056CB3B2710}"/>
            </a:ext>
          </a:extLst>
        </xdr:cNvPr>
        <xdr:cNvSpPr/>
      </xdr:nvSpPr>
      <xdr:spPr>
        <a:xfrm>
          <a:off x="2565400" y="22733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600">
              <a:solidFill>
                <a:srgbClr val="0FA3A3"/>
              </a:solidFill>
              <a:latin typeface="Poppins" panose="00000500000000000000" pitchFamily="2" charset="0"/>
              <a:cs typeface="Poppins" panose="00000500000000000000" pitchFamily="2" charset="0"/>
            </a:rPr>
            <a:t>TOTAL TRANSACTION</a:t>
          </a:r>
        </a:p>
      </xdr:txBody>
    </xdr:sp>
    <xdr:clientData/>
  </xdr:twoCellAnchor>
  <xdr:twoCellAnchor>
    <xdr:from>
      <xdr:col>4</xdr:col>
      <xdr:colOff>139700</xdr:colOff>
      <xdr:row>15</xdr:row>
      <xdr:rowOff>38100</xdr:rowOff>
    </xdr:from>
    <xdr:to>
      <xdr:col>10</xdr:col>
      <xdr:colOff>0</xdr:colOff>
      <xdr:row>17</xdr:row>
      <xdr:rowOff>127000</xdr:rowOff>
    </xdr:to>
    <xdr:sp macro="" textlink="">
      <xdr:nvSpPr>
        <xdr:cNvPr id="33" name="Rectangle 32">
          <a:extLst>
            <a:ext uri="{FF2B5EF4-FFF2-40B4-BE49-F238E27FC236}">
              <a16:creationId xmlns:a16="http://schemas.microsoft.com/office/drawing/2014/main" id="{0777C9E7-9EF9-4617-A531-0457F4058FF0}"/>
            </a:ext>
          </a:extLst>
        </xdr:cNvPr>
        <xdr:cNvSpPr/>
      </xdr:nvSpPr>
      <xdr:spPr>
        <a:xfrm>
          <a:off x="2578100" y="28956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600">
              <a:solidFill>
                <a:srgbClr val="0FA3A3"/>
              </a:solidFill>
              <a:latin typeface="Poppins" panose="00000500000000000000" pitchFamily="2" charset="0"/>
              <a:cs typeface="Poppins" panose="00000500000000000000" pitchFamily="2" charset="0"/>
            </a:rPr>
            <a:t>AOV ( AVERAGE OF VALUE )</a:t>
          </a:r>
        </a:p>
      </xdr:txBody>
    </xdr:sp>
    <xdr:clientData/>
  </xdr:twoCellAnchor>
  <xdr:twoCellAnchor>
    <xdr:from>
      <xdr:col>4</xdr:col>
      <xdr:colOff>127000</xdr:colOff>
      <xdr:row>18</xdr:row>
      <xdr:rowOff>101600</xdr:rowOff>
    </xdr:from>
    <xdr:to>
      <xdr:col>9</xdr:col>
      <xdr:colOff>596900</xdr:colOff>
      <xdr:row>21</xdr:row>
      <xdr:rowOff>0</xdr:rowOff>
    </xdr:to>
    <xdr:sp macro="" textlink="">
      <xdr:nvSpPr>
        <xdr:cNvPr id="34" name="Rectangle 33">
          <a:extLst>
            <a:ext uri="{FF2B5EF4-FFF2-40B4-BE49-F238E27FC236}">
              <a16:creationId xmlns:a16="http://schemas.microsoft.com/office/drawing/2014/main" id="{C2C9157C-425A-4275-831A-955A976A10BE}"/>
            </a:ext>
          </a:extLst>
        </xdr:cNvPr>
        <xdr:cNvSpPr/>
      </xdr:nvSpPr>
      <xdr:spPr>
        <a:xfrm>
          <a:off x="2565400" y="35306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600">
              <a:solidFill>
                <a:srgbClr val="0FA3A3"/>
              </a:solidFill>
              <a:latin typeface="Poppins" panose="00000500000000000000" pitchFamily="2" charset="0"/>
              <a:cs typeface="Poppins" panose="00000500000000000000" pitchFamily="2" charset="0"/>
            </a:rPr>
            <a:t>AVERAGE QUANTITY</a:t>
          </a:r>
        </a:p>
      </xdr:txBody>
    </xdr:sp>
    <xdr:clientData/>
  </xdr:twoCellAnchor>
  <xdr:twoCellAnchor>
    <xdr:from>
      <xdr:col>10</xdr:col>
      <xdr:colOff>25400</xdr:colOff>
      <xdr:row>8</xdr:row>
      <xdr:rowOff>101600</xdr:rowOff>
    </xdr:from>
    <xdr:to>
      <xdr:col>15</xdr:col>
      <xdr:colOff>495300</xdr:colOff>
      <xdr:row>11</xdr:row>
      <xdr:rowOff>0</xdr:rowOff>
    </xdr:to>
    <xdr:sp macro="" textlink="">
      <xdr:nvSpPr>
        <xdr:cNvPr id="37" name="Rectangle 36">
          <a:extLst>
            <a:ext uri="{FF2B5EF4-FFF2-40B4-BE49-F238E27FC236}">
              <a16:creationId xmlns:a16="http://schemas.microsoft.com/office/drawing/2014/main" id="{262FF0B8-C9FA-49AB-ABE4-4EE44A0C8570}"/>
            </a:ext>
          </a:extLst>
        </xdr:cNvPr>
        <xdr:cNvSpPr/>
      </xdr:nvSpPr>
      <xdr:spPr>
        <a:xfrm>
          <a:off x="6121400" y="16256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rgbClr val="0FA3A3"/>
              </a:solidFill>
              <a:latin typeface="Poppins" panose="00000500000000000000" pitchFamily="2" charset="0"/>
              <a:cs typeface="Poppins" panose="00000500000000000000" pitchFamily="2" charset="0"/>
            </a:rPr>
            <a:t>Rp37.632.500</a:t>
          </a:r>
        </a:p>
      </xdr:txBody>
    </xdr:sp>
    <xdr:clientData/>
  </xdr:twoCellAnchor>
  <xdr:twoCellAnchor>
    <xdr:from>
      <xdr:col>10</xdr:col>
      <xdr:colOff>25400</xdr:colOff>
      <xdr:row>11</xdr:row>
      <xdr:rowOff>152400</xdr:rowOff>
    </xdr:from>
    <xdr:to>
      <xdr:col>15</xdr:col>
      <xdr:colOff>495300</xdr:colOff>
      <xdr:row>14</xdr:row>
      <xdr:rowOff>50800</xdr:rowOff>
    </xdr:to>
    <xdr:sp macro="" textlink="">
      <xdr:nvSpPr>
        <xdr:cNvPr id="38" name="Rectangle 37">
          <a:extLst>
            <a:ext uri="{FF2B5EF4-FFF2-40B4-BE49-F238E27FC236}">
              <a16:creationId xmlns:a16="http://schemas.microsoft.com/office/drawing/2014/main" id="{14A9D975-BABE-40CC-9B22-EFF1EC0974B9}"/>
            </a:ext>
          </a:extLst>
        </xdr:cNvPr>
        <xdr:cNvSpPr/>
      </xdr:nvSpPr>
      <xdr:spPr>
        <a:xfrm>
          <a:off x="6121400" y="22479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rgbClr val="0FA3A3"/>
              </a:solidFill>
              <a:latin typeface="Poppins" panose="00000500000000000000" pitchFamily="2" charset="0"/>
              <a:cs typeface="Poppins" panose="00000500000000000000" pitchFamily="2" charset="0"/>
            </a:rPr>
            <a:t>991</a:t>
          </a:r>
        </a:p>
      </xdr:txBody>
    </xdr:sp>
    <xdr:clientData/>
  </xdr:twoCellAnchor>
  <xdr:twoCellAnchor>
    <xdr:from>
      <xdr:col>10</xdr:col>
      <xdr:colOff>25400</xdr:colOff>
      <xdr:row>15</xdr:row>
      <xdr:rowOff>25400</xdr:rowOff>
    </xdr:from>
    <xdr:to>
      <xdr:col>15</xdr:col>
      <xdr:colOff>495300</xdr:colOff>
      <xdr:row>17</xdr:row>
      <xdr:rowOff>114300</xdr:rowOff>
    </xdr:to>
    <xdr:sp macro="" textlink="">
      <xdr:nvSpPr>
        <xdr:cNvPr id="39" name="Rectangle 38">
          <a:extLst>
            <a:ext uri="{FF2B5EF4-FFF2-40B4-BE49-F238E27FC236}">
              <a16:creationId xmlns:a16="http://schemas.microsoft.com/office/drawing/2014/main" id="{1FA40C5E-8170-4A27-953D-04BBFEFAFBBD}"/>
            </a:ext>
          </a:extLst>
        </xdr:cNvPr>
        <xdr:cNvSpPr/>
      </xdr:nvSpPr>
      <xdr:spPr>
        <a:xfrm>
          <a:off x="6121400" y="28829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rgbClr val="0FA3A3"/>
              </a:solidFill>
              <a:latin typeface="Poppins" panose="00000500000000000000" pitchFamily="2" charset="0"/>
              <a:cs typeface="Poppins" panose="00000500000000000000" pitchFamily="2" charset="0"/>
            </a:rPr>
            <a:t>Rp38.090</a:t>
          </a:r>
        </a:p>
      </xdr:txBody>
    </xdr:sp>
    <xdr:clientData/>
  </xdr:twoCellAnchor>
  <xdr:twoCellAnchor>
    <xdr:from>
      <xdr:col>10</xdr:col>
      <xdr:colOff>25400</xdr:colOff>
      <xdr:row>18</xdr:row>
      <xdr:rowOff>76200</xdr:rowOff>
    </xdr:from>
    <xdr:to>
      <xdr:col>15</xdr:col>
      <xdr:colOff>495300</xdr:colOff>
      <xdr:row>20</xdr:row>
      <xdr:rowOff>165100</xdr:rowOff>
    </xdr:to>
    <xdr:sp macro="" textlink="">
      <xdr:nvSpPr>
        <xdr:cNvPr id="40" name="Rectangle 39">
          <a:extLst>
            <a:ext uri="{FF2B5EF4-FFF2-40B4-BE49-F238E27FC236}">
              <a16:creationId xmlns:a16="http://schemas.microsoft.com/office/drawing/2014/main" id="{985B2898-2A04-4D83-BF6D-C389EB521B9C}"/>
            </a:ext>
          </a:extLst>
        </xdr:cNvPr>
        <xdr:cNvSpPr/>
      </xdr:nvSpPr>
      <xdr:spPr>
        <a:xfrm>
          <a:off x="6121400" y="35052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rgbClr val="0FA3A3"/>
              </a:solidFill>
              <a:latin typeface="Poppins" panose="00000500000000000000" pitchFamily="2" charset="0"/>
              <a:cs typeface="Poppins" panose="00000500000000000000" pitchFamily="2" charset="0"/>
            </a:rPr>
            <a:t>3,1</a:t>
          </a:r>
        </a:p>
      </xdr:txBody>
    </xdr:sp>
    <xdr:clientData/>
  </xdr:twoCellAnchor>
  <xdr:twoCellAnchor>
    <xdr:from>
      <xdr:col>15</xdr:col>
      <xdr:colOff>469900</xdr:colOff>
      <xdr:row>8</xdr:row>
      <xdr:rowOff>101600</xdr:rowOff>
    </xdr:from>
    <xdr:to>
      <xdr:col>21</xdr:col>
      <xdr:colOff>330200</xdr:colOff>
      <xdr:row>11</xdr:row>
      <xdr:rowOff>0</xdr:rowOff>
    </xdr:to>
    <xdr:sp macro="" textlink="">
      <xdr:nvSpPr>
        <xdr:cNvPr id="43" name="Rectangle 42">
          <a:extLst>
            <a:ext uri="{FF2B5EF4-FFF2-40B4-BE49-F238E27FC236}">
              <a16:creationId xmlns:a16="http://schemas.microsoft.com/office/drawing/2014/main" id="{C0E7DF75-8C02-4A64-B9E5-7073BD03FCBC}"/>
            </a:ext>
          </a:extLst>
        </xdr:cNvPr>
        <xdr:cNvSpPr/>
      </xdr:nvSpPr>
      <xdr:spPr>
        <a:xfrm>
          <a:off x="9613900" y="16256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ID" sz="1600">
              <a:solidFill>
                <a:srgbClr val="0FA3A3"/>
              </a:solidFill>
              <a:latin typeface="Poppins" panose="00000500000000000000" pitchFamily="2" charset="0"/>
              <a:cs typeface="Poppins" panose="00000500000000000000" pitchFamily="2" charset="0"/>
            </a:rPr>
            <a:t>Total pendapatan selama periode</a:t>
          </a:r>
        </a:p>
      </xdr:txBody>
    </xdr:sp>
    <xdr:clientData/>
  </xdr:twoCellAnchor>
  <xdr:twoCellAnchor>
    <xdr:from>
      <xdr:col>15</xdr:col>
      <xdr:colOff>469900</xdr:colOff>
      <xdr:row>11</xdr:row>
      <xdr:rowOff>152400</xdr:rowOff>
    </xdr:from>
    <xdr:to>
      <xdr:col>21</xdr:col>
      <xdr:colOff>330200</xdr:colOff>
      <xdr:row>14</xdr:row>
      <xdr:rowOff>50800</xdr:rowOff>
    </xdr:to>
    <xdr:sp macro="" textlink="">
      <xdr:nvSpPr>
        <xdr:cNvPr id="44" name="Rectangle 43">
          <a:extLst>
            <a:ext uri="{FF2B5EF4-FFF2-40B4-BE49-F238E27FC236}">
              <a16:creationId xmlns:a16="http://schemas.microsoft.com/office/drawing/2014/main" id="{A08168CA-2E02-464C-BB66-1FAFF640695B}"/>
            </a:ext>
          </a:extLst>
        </xdr:cNvPr>
        <xdr:cNvSpPr/>
      </xdr:nvSpPr>
      <xdr:spPr>
        <a:xfrm>
          <a:off x="9613900" y="22479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ID" sz="1600">
              <a:solidFill>
                <a:srgbClr val="0FA3A3"/>
              </a:solidFill>
              <a:latin typeface="Poppins" panose="00000500000000000000" pitchFamily="2" charset="0"/>
              <a:cs typeface="Poppins" panose="00000500000000000000" pitchFamily="2" charset="0"/>
            </a:rPr>
            <a:t>Jumlah transaksi berhasil</a:t>
          </a:r>
        </a:p>
      </xdr:txBody>
    </xdr:sp>
    <xdr:clientData/>
  </xdr:twoCellAnchor>
  <xdr:twoCellAnchor>
    <xdr:from>
      <xdr:col>15</xdr:col>
      <xdr:colOff>469900</xdr:colOff>
      <xdr:row>15</xdr:row>
      <xdr:rowOff>25400</xdr:rowOff>
    </xdr:from>
    <xdr:to>
      <xdr:col>21</xdr:col>
      <xdr:colOff>330200</xdr:colOff>
      <xdr:row>17</xdr:row>
      <xdr:rowOff>114300</xdr:rowOff>
    </xdr:to>
    <xdr:sp macro="" textlink="">
      <xdr:nvSpPr>
        <xdr:cNvPr id="45" name="Rectangle 44">
          <a:extLst>
            <a:ext uri="{FF2B5EF4-FFF2-40B4-BE49-F238E27FC236}">
              <a16:creationId xmlns:a16="http://schemas.microsoft.com/office/drawing/2014/main" id="{46DBCE62-430C-40F4-857E-079AA0C1CE03}"/>
            </a:ext>
          </a:extLst>
        </xdr:cNvPr>
        <xdr:cNvSpPr/>
      </xdr:nvSpPr>
      <xdr:spPr>
        <a:xfrm>
          <a:off x="9613900" y="28829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ID" sz="1600">
              <a:solidFill>
                <a:srgbClr val="0FA3A3"/>
              </a:solidFill>
              <a:latin typeface="Poppins" panose="00000500000000000000" pitchFamily="2" charset="0"/>
              <a:cs typeface="Poppins" panose="00000500000000000000" pitchFamily="2" charset="0"/>
            </a:rPr>
            <a:t>Nilai rata-rata transaksi</a:t>
          </a:r>
        </a:p>
      </xdr:txBody>
    </xdr:sp>
    <xdr:clientData/>
  </xdr:twoCellAnchor>
  <xdr:twoCellAnchor>
    <xdr:from>
      <xdr:col>15</xdr:col>
      <xdr:colOff>469900</xdr:colOff>
      <xdr:row>18</xdr:row>
      <xdr:rowOff>76200</xdr:rowOff>
    </xdr:from>
    <xdr:to>
      <xdr:col>21</xdr:col>
      <xdr:colOff>330200</xdr:colOff>
      <xdr:row>20</xdr:row>
      <xdr:rowOff>165100</xdr:rowOff>
    </xdr:to>
    <xdr:sp macro="" textlink="">
      <xdr:nvSpPr>
        <xdr:cNvPr id="46" name="Rectangle 45">
          <a:extLst>
            <a:ext uri="{FF2B5EF4-FFF2-40B4-BE49-F238E27FC236}">
              <a16:creationId xmlns:a16="http://schemas.microsoft.com/office/drawing/2014/main" id="{59E6A43F-EEE7-41C3-B29D-201281DB0FCB}"/>
            </a:ext>
          </a:extLst>
        </xdr:cNvPr>
        <xdr:cNvSpPr/>
      </xdr:nvSpPr>
      <xdr:spPr>
        <a:xfrm>
          <a:off x="9613900" y="35052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ID" sz="1600">
              <a:solidFill>
                <a:srgbClr val="0FA3A3"/>
              </a:solidFill>
              <a:latin typeface="Poppins" panose="00000500000000000000" pitchFamily="2" charset="0"/>
              <a:cs typeface="Poppins" panose="00000500000000000000" pitchFamily="2" charset="0"/>
            </a:rPr>
            <a:t>Rata-rata item per transaksi</a:t>
          </a:r>
        </a:p>
      </xdr:txBody>
    </xdr:sp>
    <xdr:clientData/>
  </xdr:twoCellAnchor>
  <xdr:twoCellAnchor>
    <xdr:from>
      <xdr:col>15</xdr:col>
      <xdr:colOff>444500</xdr:colOff>
      <xdr:row>21</xdr:row>
      <xdr:rowOff>127000</xdr:rowOff>
    </xdr:from>
    <xdr:to>
      <xdr:col>21</xdr:col>
      <xdr:colOff>304800</xdr:colOff>
      <xdr:row>24</xdr:row>
      <xdr:rowOff>25400</xdr:rowOff>
    </xdr:to>
    <xdr:sp macro="" textlink="">
      <xdr:nvSpPr>
        <xdr:cNvPr id="47" name="Rectangle 46">
          <a:extLst>
            <a:ext uri="{FF2B5EF4-FFF2-40B4-BE49-F238E27FC236}">
              <a16:creationId xmlns:a16="http://schemas.microsoft.com/office/drawing/2014/main" id="{AA294078-88CF-4E34-B131-CD800FC0333F}"/>
            </a:ext>
          </a:extLst>
        </xdr:cNvPr>
        <xdr:cNvSpPr/>
      </xdr:nvSpPr>
      <xdr:spPr>
        <a:xfrm>
          <a:off x="9588500" y="41275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ID" sz="1600">
              <a:solidFill>
                <a:srgbClr val="0FA3A3"/>
              </a:solidFill>
              <a:latin typeface="Poppins" panose="00000500000000000000" pitchFamily="2" charset="0"/>
              <a:cs typeface="Poppins" panose="00000500000000000000" pitchFamily="2" charset="0"/>
            </a:rPr>
            <a:t>Berdasarkan revenue tertinggi</a:t>
          </a:r>
        </a:p>
      </xdr:txBody>
    </xdr:sp>
    <xdr:clientData/>
  </xdr:twoCellAnchor>
  <xdr:twoCellAnchor>
    <xdr:from>
      <xdr:col>15</xdr:col>
      <xdr:colOff>444500</xdr:colOff>
      <xdr:row>24</xdr:row>
      <xdr:rowOff>177800</xdr:rowOff>
    </xdr:from>
    <xdr:to>
      <xdr:col>21</xdr:col>
      <xdr:colOff>304800</xdr:colOff>
      <xdr:row>27</xdr:row>
      <xdr:rowOff>76200</xdr:rowOff>
    </xdr:to>
    <xdr:sp macro="" textlink="">
      <xdr:nvSpPr>
        <xdr:cNvPr id="48" name="Rectangle 47">
          <a:extLst>
            <a:ext uri="{FF2B5EF4-FFF2-40B4-BE49-F238E27FC236}">
              <a16:creationId xmlns:a16="http://schemas.microsoft.com/office/drawing/2014/main" id="{4E9F2FF2-0BAF-4D6D-AC5F-91FFC2EB998D}"/>
            </a:ext>
          </a:extLst>
        </xdr:cNvPr>
        <xdr:cNvSpPr/>
      </xdr:nvSpPr>
      <xdr:spPr>
        <a:xfrm>
          <a:off x="9588500" y="47498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ID" sz="1600">
              <a:solidFill>
                <a:srgbClr val="0FA3A3"/>
              </a:solidFill>
              <a:latin typeface="Poppins" panose="00000500000000000000" pitchFamily="2" charset="0"/>
              <a:cs typeface="Poppins" panose="00000500000000000000" pitchFamily="2" charset="0"/>
            </a:rPr>
            <a:t>Berdasarkan revenue tertinggi</a:t>
          </a:r>
        </a:p>
      </xdr:txBody>
    </xdr:sp>
    <xdr:clientData/>
  </xdr:twoCellAnchor>
  <xdr:twoCellAnchor>
    <xdr:from>
      <xdr:col>4</xdr:col>
      <xdr:colOff>101600</xdr:colOff>
      <xdr:row>21</xdr:row>
      <xdr:rowOff>114300</xdr:rowOff>
    </xdr:from>
    <xdr:to>
      <xdr:col>9</xdr:col>
      <xdr:colOff>571500</xdr:colOff>
      <xdr:row>24</xdr:row>
      <xdr:rowOff>12700</xdr:rowOff>
    </xdr:to>
    <xdr:sp macro="" textlink="">
      <xdr:nvSpPr>
        <xdr:cNvPr id="53" name="Rectangle 52">
          <a:extLst>
            <a:ext uri="{FF2B5EF4-FFF2-40B4-BE49-F238E27FC236}">
              <a16:creationId xmlns:a16="http://schemas.microsoft.com/office/drawing/2014/main" id="{ED874DDD-03FF-4AC8-8067-78C6F070AC47}"/>
            </a:ext>
          </a:extLst>
        </xdr:cNvPr>
        <xdr:cNvSpPr/>
      </xdr:nvSpPr>
      <xdr:spPr>
        <a:xfrm>
          <a:off x="2540000" y="41148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600">
              <a:solidFill>
                <a:srgbClr val="0FA3A3"/>
              </a:solidFill>
              <a:latin typeface="Poppins" panose="00000500000000000000" pitchFamily="2" charset="0"/>
              <a:cs typeface="Poppins" panose="00000500000000000000" pitchFamily="2" charset="0"/>
            </a:rPr>
            <a:t>BEST PERFORMING CATEGORY</a:t>
          </a:r>
        </a:p>
      </xdr:txBody>
    </xdr:sp>
    <xdr:clientData/>
  </xdr:twoCellAnchor>
  <xdr:twoCellAnchor>
    <xdr:from>
      <xdr:col>4</xdr:col>
      <xdr:colOff>101600</xdr:colOff>
      <xdr:row>24</xdr:row>
      <xdr:rowOff>165100</xdr:rowOff>
    </xdr:from>
    <xdr:to>
      <xdr:col>9</xdr:col>
      <xdr:colOff>571500</xdr:colOff>
      <xdr:row>27</xdr:row>
      <xdr:rowOff>63500</xdr:rowOff>
    </xdr:to>
    <xdr:sp macro="" textlink="">
      <xdr:nvSpPr>
        <xdr:cNvPr id="54" name="Rectangle 53">
          <a:extLst>
            <a:ext uri="{FF2B5EF4-FFF2-40B4-BE49-F238E27FC236}">
              <a16:creationId xmlns:a16="http://schemas.microsoft.com/office/drawing/2014/main" id="{1266D6CD-F3A6-4860-BC5F-ACC5394A3640}"/>
            </a:ext>
          </a:extLst>
        </xdr:cNvPr>
        <xdr:cNvSpPr/>
      </xdr:nvSpPr>
      <xdr:spPr>
        <a:xfrm>
          <a:off x="2540000" y="47371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600">
              <a:solidFill>
                <a:srgbClr val="0FA3A3"/>
              </a:solidFill>
              <a:latin typeface="Poppins" panose="00000500000000000000" pitchFamily="2" charset="0"/>
              <a:cs typeface="Poppins" panose="00000500000000000000" pitchFamily="2" charset="0"/>
            </a:rPr>
            <a:t>BEST PERFORMING CITY</a:t>
          </a:r>
        </a:p>
      </xdr:txBody>
    </xdr:sp>
    <xdr:clientData/>
  </xdr:twoCellAnchor>
  <xdr:twoCellAnchor>
    <xdr:from>
      <xdr:col>10</xdr:col>
      <xdr:colOff>0</xdr:colOff>
      <xdr:row>21</xdr:row>
      <xdr:rowOff>127000</xdr:rowOff>
    </xdr:from>
    <xdr:to>
      <xdr:col>15</xdr:col>
      <xdr:colOff>469900</xdr:colOff>
      <xdr:row>24</xdr:row>
      <xdr:rowOff>25400</xdr:rowOff>
    </xdr:to>
    <xdr:sp macro="" textlink="">
      <xdr:nvSpPr>
        <xdr:cNvPr id="55" name="Rectangle 54">
          <a:extLst>
            <a:ext uri="{FF2B5EF4-FFF2-40B4-BE49-F238E27FC236}">
              <a16:creationId xmlns:a16="http://schemas.microsoft.com/office/drawing/2014/main" id="{36E6CEA2-3BC4-4634-94E1-B67582E3B665}"/>
            </a:ext>
          </a:extLst>
        </xdr:cNvPr>
        <xdr:cNvSpPr/>
      </xdr:nvSpPr>
      <xdr:spPr>
        <a:xfrm>
          <a:off x="6096000" y="41275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rgbClr val="0FA3A3"/>
              </a:solidFill>
              <a:latin typeface="Poppins" panose="00000500000000000000" pitchFamily="2" charset="0"/>
              <a:cs typeface="Poppins" panose="00000500000000000000" pitchFamily="2" charset="0"/>
            </a:rPr>
            <a:t>Sabun</a:t>
          </a:r>
        </a:p>
      </xdr:txBody>
    </xdr:sp>
    <xdr:clientData/>
  </xdr:twoCellAnchor>
  <xdr:twoCellAnchor>
    <xdr:from>
      <xdr:col>10</xdr:col>
      <xdr:colOff>0</xdr:colOff>
      <xdr:row>24</xdr:row>
      <xdr:rowOff>177800</xdr:rowOff>
    </xdr:from>
    <xdr:to>
      <xdr:col>15</xdr:col>
      <xdr:colOff>469900</xdr:colOff>
      <xdr:row>27</xdr:row>
      <xdr:rowOff>76200</xdr:rowOff>
    </xdr:to>
    <xdr:sp macro="" textlink="">
      <xdr:nvSpPr>
        <xdr:cNvPr id="56" name="Rectangle 55">
          <a:extLst>
            <a:ext uri="{FF2B5EF4-FFF2-40B4-BE49-F238E27FC236}">
              <a16:creationId xmlns:a16="http://schemas.microsoft.com/office/drawing/2014/main" id="{147DBA44-25EA-4A21-9801-C011EDAA5B16}"/>
            </a:ext>
          </a:extLst>
        </xdr:cNvPr>
        <xdr:cNvSpPr/>
      </xdr:nvSpPr>
      <xdr:spPr>
        <a:xfrm>
          <a:off x="6096000" y="4749800"/>
          <a:ext cx="3517900" cy="4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rgbClr val="0FA3A3"/>
              </a:solidFill>
              <a:latin typeface="Poppins" panose="00000500000000000000" pitchFamily="2" charset="0"/>
              <a:cs typeface="Poppins" panose="00000500000000000000" pitchFamily="2" charset="0"/>
            </a:rPr>
            <a:t>Jakarta</a:t>
          </a:r>
        </a:p>
      </xdr:txBody>
    </xdr:sp>
    <xdr:clientData/>
  </xdr:twoCellAnchor>
  <xdr:twoCellAnchor editAs="oneCell">
    <xdr:from>
      <xdr:col>23</xdr:col>
      <xdr:colOff>0</xdr:colOff>
      <xdr:row>2</xdr:row>
      <xdr:rowOff>0</xdr:rowOff>
    </xdr:from>
    <xdr:to>
      <xdr:col>26</xdr:col>
      <xdr:colOff>317500</xdr:colOff>
      <xdr:row>13</xdr:row>
      <xdr:rowOff>50800</xdr:rowOff>
    </xdr:to>
    <xdr:pic>
      <xdr:nvPicPr>
        <xdr:cNvPr id="77" name="Picture 76">
          <a:extLst>
            <a:ext uri="{FF2B5EF4-FFF2-40B4-BE49-F238E27FC236}">
              <a16:creationId xmlns:a16="http://schemas.microsoft.com/office/drawing/2014/main" id="{9651FBEB-8AED-4987-88E4-6898BB98DEBA}"/>
            </a:ext>
          </a:extLst>
        </xdr:cNvPr>
        <xdr:cNvPicPr>
          <a:picLocks noChangeAspect="1"/>
        </xdr:cNvPicPr>
      </xdr:nvPicPr>
      <xdr:blipFill>
        <a:blip xmlns:r="http://schemas.openxmlformats.org/officeDocument/2006/relationships" r:embed="rId9"/>
        <a:stretch>
          <a:fillRect/>
        </a:stretch>
      </xdr:blipFill>
      <xdr:spPr>
        <a:xfrm>
          <a:off x="14020800" y="381000"/>
          <a:ext cx="2146300" cy="2146300"/>
        </a:xfrm>
        <a:prstGeom prst="rect">
          <a:avLst/>
        </a:prstGeom>
      </xdr:spPr>
    </xdr:pic>
    <xdr:clientData/>
  </xdr:twoCellAnchor>
  <xdr:twoCellAnchor editAs="oneCell">
    <xdr:from>
      <xdr:col>22</xdr:col>
      <xdr:colOff>165100</xdr:colOff>
      <xdr:row>13</xdr:row>
      <xdr:rowOff>25400</xdr:rowOff>
    </xdr:from>
    <xdr:to>
      <xdr:col>27</xdr:col>
      <xdr:colOff>152400</xdr:colOff>
      <xdr:row>29</xdr:row>
      <xdr:rowOff>12700</xdr:rowOff>
    </xdr:to>
    <xdr:pic>
      <xdr:nvPicPr>
        <xdr:cNvPr id="78" name="Picture 77">
          <a:extLst>
            <a:ext uri="{FF2B5EF4-FFF2-40B4-BE49-F238E27FC236}">
              <a16:creationId xmlns:a16="http://schemas.microsoft.com/office/drawing/2014/main" id="{6E45B117-89EF-4793-8041-E67463D89F29}"/>
            </a:ext>
          </a:extLst>
        </xdr:cNvPr>
        <xdr:cNvPicPr>
          <a:picLocks noChangeAspect="1"/>
        </xdr:cNvPicPr>
      </xdr:nvPicPr>
      <xdr:blipFill>
        <a:blip xmlns:r="http://schemas.openxmlformats.org/officeDocument/2006/relationships" r:embed="rId10"/>
        <a:stretch>
          <a:fillRect/>
        </a:stretch>
      </xdr:blipFill>
      <xdr:spPr>
        <a:xfrm>
          <a:off x="13576300" y="2501900"/>
          <a:ext cx="3035300" cy="3035300"/>
        </a:xfrm>
        <a:prstGeom prst="rect">
          <a:avLst/>
        </a:prstGeom>
      </xdr:spPr>
    </xdr:pic>
    <xdr:clientData/>
  </xdr:twoCellAnchor>
  <xdr:twoCellAnchor editAs="oneCell">
    <xdr:from>
      <xdr:col>23</xdr:col>
      <xdr:colOff>12700</xdr:colOff>
      <xdr:row>1</xdr:row>
      <xdr:rowOff>152400</xdr:rowOff>
    </xdr:from>
    <xdr:to>
      <xdr:col>26</xdr:col>
      <xdr:colOff>330200</xdr:colOff>
      <xdr:row>13</xdr:row>
      <xdr:rowOff>12700</xdr:rowOff>
    </xdr:to>
    <xdr:pic>
      <xdr:nvPicPr>
        <xdr:cNvPr id="49" name="Picture 48">
          <a:extLst>
            <a:ext uri="{FF2B5EF4-FFF2-40B4-BE49-F238E27FC236}">
              <a16:creationId xmlns:a16="http://schemas.microsoft.com/office/drawing/2014/main" id="{3F323D61-1B38-4333-8739-0A0C14870745}"/>
            </a:ext>
          </a:extLst>
        </xdr:cNvPr>
        <xdr:cNvPicPr>
          <a:picLocks noChangeAspect="1"/>
        </xdr:cNvPicPr>
      </xdr:nvPicPr>
      <xdr:blipFill>
        <a:blip xmlns:r="http://schemas.openxmlformats.org/officeDocument/2006/relationships" r:embed="rId9">
          <a:duotone>
            <a:prstClr val="black"/>
            <a:srgbClr val="0FA3A3">
              <a:tint val="45000"/>
              <a:satMod val="400000"/>
            </a:srgbClr>
          </a:duotone>
        </a:blip>
        <a:stretch>
          <a:fillRect/>
        </a:stretch>
      </xdr:blipFill>
      <xdr:spPr>
        <a:xfrm>
          <a:off x="14033500" y="342900"/>
          <a:ext cx="2146300" cy="2146300"/>
        </a:xfrm>
        <a:prstGeom prst="rect">
          <a:avLst/>
        </a:prstGeom>
      </xdr:spPr>
    </xdr:pic>
    <xdr:clientData/>
  </xdr:twoCellAnchor>
  <xdr:twoCellAnchor editAs="oneCell">
    <xdr:from>
      <xdr:col>22</xdr:col>
      <xdr:colOff>177800</xdr:colOff>
      <xdr:row>12</xdr:row>
      <xdr:rowOff>177800</xdr:rowOff>
    </xdr:from>
    <xdr:to>
      <xdr:col>27</xdr:col>
      <xdr:colOff>165100</xdr:colOff>
      <xdr:row>28</xdr:row>
      <xdr:rowOff>165100</xdr:rowOff>
    </xdr:to>
    <xdr:pic>
      <xdr:nvPicPr>
        <xdr:cNvPr id="50" name="Picture 49">
          <a:extLst>
            <a:ext uri="{FF2B5EF4-FFF2-40B4-BE49-F238E27FC236}">
              <a16:creationId xmlns:a16="http://schemas.microsoft.com/office/drawing/2014/main" id="{D031EB89-343A-4C82-A08C-64A4BBB8EABF}"/>
            </a:ext>
          </a:extLst>
        </xdr:cNvPr>
        <xdr:cNvPicPr>
          <a:picLocks noChangeAspect="1"/>
        </xdr:cNvPicPr>
      </xdr:nvPicPr>
      <xdr:blipFill>
        <a:blip xmlns:r="http://schemas.openxmlformats.org/officeDocument/2006/relationships" r:embed="rId10">
          <a:duotone>
            <a:prstClr val="black"/>
            <a:srgbClr val="0FA3A3">
              <a:tint val="45000"/>
              <a:satMod val="400000"/>
            </a:srgbClr>
          </a:duotone>
        </a:blip>
        <a:stretch>
          <a:fillRect/>
        </a:stretch>
      </xdr:blipFill>
      <xdr:spPr>
        <a:xfrm>
          <a:off x="13589000" y="2463800"/>
          <a:ext cx="3035300" cy="30353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606558</xdr:colOff>
      <xdr:row>53</xdr:row>
      <xdr:rowOff>0</xdr:rowOff>
    </xdr:to>
    <xdr:sp macro="" textlink="">
      <xdr:nvSpPr>
        <xdr:cNvPr id="2" name="Rectangle 1">
          <a:extLst>
            <a:ext uri="{FF2B5EF4-FFF2-40B4-BE49-F238E27FC236}">
              <a16:creationId xmlns:a16="http://schemas.microsoft.com/office/drawing/2014/main" id="{477E2806-A3CD-489B-9444-1761C3B4E956}"/>
            </a:ext>
          </a:extLst>
        </xdr:cNvPr>
        <xdr:cNvSpPr/>
      </xdr:nvSpPr>
      <xdr:spPr>
        <a:xfrm>
          <a:off x="0" y="0"/>
          <a:ext cx="1825758" cy="10096500"/>
        </a:xfrm>
        <a:prstGeom prst="rect">
          <a:avLst/>
        </a:prstGeom>
        <a:solidFill>
          <a:srgbClr val="0FA3A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487295</xdr:colOff>
      <xdr:row>0</xdr:row>
      <xdr:rowOff>11205</xdr:rowOff>
    </xdr:from>
    <xdr:to>
      <xdr:col>3</xdr:col>
      <xdr:colOff>19369</xdr:colOff>
      <xdr:row>53</xdr:row>
      <xdr:rowOff>0</xdr:rowOff>
    </xdr:to>
    <xdr:sp macro="" textlink="">
      <xdr:nvSpPr>
        <xdr:cNvPr id="3" name="Rectangle 2">
          <a:extLst>
            <a:ext uri="{FF2B5EF4-FFF2-40B4-BE49-F238E27FC236}">
              <a16:creationId xmlns:a16="http://schemas.microsoft.com/office/drawing/2014/main" id="{3AFFB4BE-8597-4344-9EF6-3E53863D0C4A}"/>
            </a:ext>
          </a:extLst>
        </xdr:cNvPr>
        <xdr:cNvSpPr/>
      </xdr:nvSpPr>
      <xdr:spPr>
        <a:xfrm>
          <a:off x="1706495" y="11205"/>
          <a:ext cx="141674" cy="10085295"/>
        </a:xfrm>
        <a:prstGeom prst="rect">
          <a:avLst/>
        </a:prstGeom>
        <a:gradFill flip="none" rotWithShape="1">
          <a:gsLst>
            <a:gs pos="0">
              <a:srgbClr val="0FA3A3">
                <a:shade val="30000"/>
                <a:satMod val="115000"/>
              </a:srgbClr>
            </a:gs>
            <a:gs pos="50000">
              <a:srgbClr val="0FA3A3">
                <a:shade val="67500"/>
                <a:satMod val="115000"/>
              </a:srgbClr>
            </a:gs>
            <a:gs pos="100000">
              <a:srgbClr val="0FA3A3">
                <a:shade val="100000"/>
                <a:satMod val="115000"/>
              </a:srgbClr>
            </a:gs>
          </a:gsLst>
          <a:lin ang="108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0</xdr:col>
      <xdr:colOff>367575</xdr:colOff>
      <xdr:row>1</xdr:row>
      <xdr:rowOff>89647</xdr:rowOff>
    </xdr:from>
    <xdr:to>
      <xdr:col>2</xdr:col>
      <xdr:colOff>62783</xdr:colOff>
      <xdr:row>6</xdr:row>
      <xdr:rowOff>37147</xdr:rowOff>
    </xdr:to>
    <xdr:pic>
      <xdr:nvPicPr>
        <xdr:cNvPr id="4" name="Picture 3">
          <a:hlinkClick xmlns:r="http://schemas.openxmlformats.org/officeDocument/2006/relationships" r:id="rId1"/>
          <a:extLst>
            <a:ext uri="{FF2B5EF4-FFF2-40B4-BE49-F238E27FC236}">
              <a16:creationId xmlns:a16="http://schemas.microsoft.com/office/drawing/2014/main" id="{9B1C64AF-EC15-44D7-80C3-F3BCE2E90E31}"/>
            </a:ext>
          </a:extLst>
        </xdr:cNvPr>
        <xdr:cNvPicPr>
          <a:picLocks noChangeAspect="1"/>
        </xdr:cNvPicPr>
      </xdr:nvPicPr>
      <xdr:blipFill>
        <a:blip xmlns:r="http://schemas.openxmlformats.org/officeDocument/2006/relationships" r:embed="rId2"/>
        <a:stretch>
          <a:fillRect/>
        </a:stretch>
      </xdr:blipFill>
      <xdr:spPr>
        <a:xfrm>
          <a:off x="367575" y="280147"/>
          <a:ext cx="914408" cy="900000"/>
        </a:xfrm>
        <a:prstGeom prst="rect">
          <a:avLst/>
        </a:prstGeom>
      </xdr:spPr>
    </xdr:pic>
    <xdr:clientData/>
  </xdr:twoCellAnchor>
  <xdr:twoCellAnchor editAs="oneCell">
    <xdr:from>
      <xdr:col>0</xdr:col>
      <xdr:colOff>381350</xdr:colOff>
      <xdr:row>15</xdr:row>
      <xdr:rowOff>88715</xdr:rowOff>
    </xdr:from>
    <xdr:to>
      <xdr:col>2</xdr:col>
      <xdr:colOff>76558</xdr:colOff>
      <xdr:row>20</xdr:row>
      <xdr:rowOff>34230</xdr:rowOff>
    </xdr:to>
    <xdr:pic>
      <xdr:nvPicPr>
        <xdr:cNvPr id="5" name="Picture 4">
          <a:hlinkClick xmlns:r="http://schemas.openxmlformats.org/officeDocument/2006/relationships" r:id="rId3"/>
          <a:extLst>
            <a:ext uri="{FF2B5EF4-FFF2-40B4-BE49-F238E27FC236}">
              <a16:creationId xmlns:a16="http://schemas.microsoft.com/office/drawing/2014/main" id="{8AE3435C-44EF-4B30-9B5F-66CB507DBF1A}"/>
            </a:ext>
          </a:extLst>
        </xdr:cNvPr>
        <xdr:cNvPicPr>
          <a:picLocks noChangeAspect="1"/>
        </xdr:cNvPicPr>
      </xdr:nvPicPr>
      <xdr:blipFill>
        <a:blip xmlns:r="http://schemas.openxmlformats.org/officeDocument/2006/relationships" r:embed="rId4"/>
        <a:stretch>
          <a:fillRect/>
        </a:stretch>
      </xdr:blipFill>
      <xdr:spPr>
        <a:xfrm>
          <a:off x="381350" y="2946215"/>
          <a:ext cx="914408" cy="898015"/>
        </a:xfrm>
        <a:prstGeom prst="rect">
          <a:avLst/>
        </a:prstGeom>
      </xdr:spPr>
    </xdr:pic>
    <xdr:clientData/>
  </xdr:twoCellAnchor>
  <xdr:twoCellAnchor>
    <xdr:from>
      <xdr:col>0</xdr:col>
      <xdr:colOff>332813</xdr:colOff>
      <xdr:row>5</xdr:row>
      <xdr:rowOff>131108</xdr:rowOff>
    </xdr:from>
    <xdr:to>
      <xdr:col>2</xdr:col>
      <xdr:colOff>128708</xdr:colOff>
      <xdr:row>7</xdr:row>
      <xdr:rowOff>67235</xdr:rowOff>
    </xdr:to>
    <xdr:sp macro="" textlink="">
      <xdr:nvSpPr>
        <xdr:cNvPr id="7" name="TextBox 6">
          <a:hlinkClick xmlns:r="http://schemas.openxmlformats.org/officeDocument/2006/relationships" r:id="rId1"/>
          <a:extLst>
            <a:ext uri="{FF2B5EF4-FFF2-40B4-BE49-F238E27FC236}">
              <a16:creationId xmlns:a16="http://schemas.microsoft.com/office/drawing/2014/main" id="{394DFD08-D1A4-4A4A-AB96-F00AF75DEFCE}"/>
            </a:ext>
          </a:extLst>
        </xdr:cNvPr>
        <xdr:cNvSpPr txBox="1"/>
      </xdr:nvSpPr>
      <xdr:spPr>
        <a:xfrm>
          <a:off x="332813" y="1083608"/>
          <a:ext cx="1015095" cy="317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About Data</a:t>
          </a:r>
        </a:p>
      </xdr:txBody>
    </xdr:sp>
    <xdr:clientData/>
  </xdr:twoCellAnchor>
  <xdr:twoCellAnchor>
    <xdr:from>
      <xdr:col>0</xdr:col>
      <xdr:colOff>280148</xdr:colOff>
      <xdr:row>19</xdr:row>
      <xdr:rowOff>179294</xdr:rowOff>
    </xdr:from>
    <xdr:to>
      <xdr:col>2</xdr:col>
      <xdr:colOff>240767</xdr:colOff>
      <xdr:row>21</xdr:row>
      <xdr:rowOff>145676</xdr:rowOff>
    </xdr:to>
    <xdr:sp macro="" textlink="">
      <xdr:nvSpPr>
        <xdr:cNvPr id="8" name="TextBox 7">
          <a:hlinkClick xmlns:r="http://schemas.openxmlformats.org/officeDocument/2006/relationships" r:id="rId3"/>
          <a:extLst>
            <a:ext uri="{FF2B5EF4-FFF2-40B4-BE49-F238E27FC236}">
              <a16:creationId xmlns:a16="http://schemas.microsoft.com/office/drawing/2014/main" id="{549B2B53-4F27-4F44-815B-391F666274A6}"/>
            </a:ext>
          </a:extLst>
        </xdr:cNvPr>
        <xdr:cNvSpPr txBox="1"/>
      </xdr:nvSpPr>
      <xdr:spPr>
        <a:xfrm>
          <a:off x="280148" y="3798794"/>
          <a:ext cx="1179819"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Kpi Summary</a:t>
          </a:r>
        </a:p>
      </xdr:txBody>
    </xdr:sp>
    <xdr:clientData/>
  </xdr:twoCellAnchor>
  <xdr:twoCellAnchor>
    <xdr:from>
      <xdr:col>0</xdr:col>
      <xdr:colOff>179293</xdr:colOff>
      <xdr:row>23</xdr:row>
      <xdr:rowOff>4000</xdr:rowOff>
    </xdr:from>
    <xdr:to>
      <xdr:col>2</xdr:col>
      <xdr:colOff>487296</xdr:colOff>
      <xdr:row>29</xdr:row>
      <xdr:rowOff>4000</xdr:rowOff>
    </xdr:to>
    <xdr:sp macro="" textlink="">
      <xdr:nvSpPr>
        <xdr:cNvPr id="9" name="Rectangle 8">
          <a:extLst>
            <a:ext uri="{FF2B5EF4-FFF2-40B4-BE49-F238E27FC236}">
              <a16:creationId xmlns:a16="http://schemas.microsoft.com/office/drawing/2014/main" id="{C328FFE9-C0E0-42C6-A7EB-95C58DF27C15}"/>
            </a:ext>
          </a:extLst>
        </xdr:cNvPr>
        <xdr:cNvSpPr/>
      </xdr:nvSpPr>
      <xdr:spPr>
        <a:xfrm>
          <a:off x="179293" y="4385500"/>
          <a:ext cx="1532646" cy="1143000"/>
        </a:xfrm>
        <a:prstGeom prst="rect">
          <a:avLst/>
        </a:prstGeom>
        <a:gradFill flip="none" rotWithShape="1">
          <a:gsLst>
            <a:gs pos="0">
              <a:srgbClr val="0FA3A3">
                <a:shade val="30000"/>
                <a:satMod val="115000"/>
              </a:srgbClr>
            </a:gs>
            <a:gs pos="50000">
              <a:srgbClr val="0FA3A3">
                <a:shade val="67500"/>
                <a:satMod val="115000"/>
              </a:srgbClr>
            </a:gs>
            <a:gs pos="100000">
              <a:srgbClr val="0FA3A3">
                <a:shade val="100000"/>
                <a:satMod val="115000"/>
              </a:srgb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0</xdr:col>
      <xdr:colOff>379717</xdr:colOff>
      <xdr:row>8</xdr:row>
      <xdr:rowOff>54746</xdr:rowOff>
    </xdr:from>
    <xdr:to>
      <xdr:col>2</xdr:col>
      <xdr:colOff>74925</xdr:colOff>
      <xdr:row>13</xdr:row>
      <xdr:rowOff>2247</xdr:rowOff>
    </xdr:to>
    <xdr:pic>
      <xdr:nvPicPr>
        <xdr:cNvPr id="11" name="Picture 10">
          <a:hlinkClick xmlns:r="http://schemas.openxmlformats.org/officeDocument/2006/relationships" r:id="rId5"/>
          <a:extLst>
            <a:ext uri="{FF2B5EF4-FFF2-40B4-BE49-F238E27FC236}">
              <a16:creationId xmlns:a16="http://schemas.microsoft.com/office/drawing/2014/main" id="{3F451FA3-2266-41A5-AF54-77D94734F817}"/>
            </a:ext>
          </a:extLst>
        </xdr:cNvPr>
        <xdr:cNvPicPr>
          <a:picLocks noChangeAspect="1"/>
        </xdr:cNvPicPr>
      </xdr:nvPicPr>
      <xdr:blipFill>
        <a:blip xmlns:r="http://schemas.openxmlformats.org/officeDocument/2006/relationships" r:embed="rId6"/>
        <a:stretch>
          <a:fillRect/>
        </a:stretch>
      </xdr:blipFill>
      <xdr:spPr>
        <a:xfrm>
          <a:off x="379717" y="1578746"/>
          <a:ext cx="914408" cy="900001"/>
        </a:xfrm>
        <a:prstGeom prst="rect">
          <a:avLst/>
        </a:prstGeom>
      </xdr:spPr>
    </xdr:pic>
    <xdr:clientData/>
  </xdr:twoCellAnchor>
  <xdr:twoCellAnchor>
    <xdr:from>
      <xdr:col>0</xdr:col>
      <xdr:colOff>358589</xdr:colOff>
      <xdr:row>12</xdr:row>
      <xdr:rowOff>67235</xdr:rowOff>
    </xdr:from>
    <xdr:to>
      <xdr:col>2</xdr:col>
      <xdr:colOff>162326</xdr:colOff>
      <xdr:row>14</xdr:row>
      <xdr:rowOff>11206</xdr:rowOff>
    </xdr:to>
    <xdr:sp macro="" textlink="">
      <xdr:nvSpPr>
        <xdr:cNvPr id="12" name="TextBox 11">
          <a:hlinkClick xmlns:r="http://schemas.openxmlformats.org/officeDocument/2006/relationships" r:id="rId5"/>
          <a:extLst>
            <a:ext uri="{FF2B5EF4-FFF2-40B4-BE49-F238E27FC236}">
              <a16:creationId xmlns:a16="http://schemas.microsoft.com/office/drawing/2014/main" id="{9A51DD77-E4E0-420D-81CD-B9E6A844F149}"/>
            </a:ext>
          </a:extLst>
        </xdr:cNvPr>
        <xdr:cNvSpPr txBox="1"/>
      </xdr:nvSpPr>
      <xdr:spPr>
        <a:xfrm>
          <a:off x="358589" y="2353235"/>
          <a:ext cx="1022937" cy="32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Dashboard</a:t>
          </a:r>
        </a:p>
      </xdr:txBody>
    </xdr:sp>
    <xdr:clientData/>
  </xdr:twoCellAnchor>
  <xdr:twoCellAnchor editAs="oneCell">
    <xdr:from>
      <xdr:col>0</xdr:col>
      <xdr:colOff>389055</xdr:colOff>
      <xdr:row>23</xdr:row>
      <xdr:rowOff>674</xdr:rowOff>
    </xdr:from>
    <xdr:to>
      <xdr:col>2</xdr:col>
      <xdr:colOff>84263</xdr:colOff>
      <xdr:row>27</xdr:row>
      <xdr:rowOff>138674</xdr:rowOff>
    </xdr:to>
    <xdr:pic>
      <xdr:nvPicPr>
        <xdr:cNvPr id="6" name="Picture 5">
          <a:hlinkClick xmlns:r="http://schemas.openxmlformats.org/officeDocument/2006/relationships" r:id="rId7"/>
          <a:extLst>
            <a:ext uri="{FF2B5EF4-FFF2-40B4-BE49-F238E27FC236}">
              <a16:creationId xmlns:a16="http://schemas.microsoft.com/office/drawing/2014/main" id="{35966F1C-9BEC-4DE2-BBB8-5D0CD459FFF3}"/>
            </a:ext>
          </a:extLst>
        </xdr:cNvPr>
        <xdr:cNvPicPr>
          <a:picLocks noChangeAspect="1"/>
        </xdr:cNvPicPr>
      </xdr:nvPicPr>
      <xdr:blipFill>
        <a:blip xmlns:r="http://schemas.openxmlformats.org/officeDocument/2006/relationships" r:embed="rId8"/>
        <a:stretch>
          <a:fillRect/>
        </a:stretch>
      </xdr:blipFill>
      <xdr:spPr>
        <a:xfrm rot="16200000">
          <a:off x="396259" y="4374970"/>
          <a:ext cx="900000" cy="914408"/>
        </a:xfrm>
        <a:prstGeom prst="rect">
          <a:avLst/>
        </a:prstGeom>
      </xdr:spPr>
    </xdr:pic>
    <xdr:clientData/>
  </xdr:twoCellAnchor>
  <xdr:twoCellAnchor>
    <xdr:from>
      <xdr:col>0</xdr:col>
      <xdr:colOff>381000</xdr:colOff>
      <xdr:row>27</xdr:row>
      <xdr:rowOff>78443</xdr:rowOff>
    </xdr:from>
    <xdr:to>
      <xdr:col>2</xdr:col>
      <xdr:colOff>218355</xdr:colOff>
      <xdr:row>29</xdr:row>
      <xdr:rowOff>0</xdr:rowOff>
    </xdr:to>
    <xdr:sp macro="" textlink="">
      <xdr:nvSpPr>
        <xdr:cNvPr id="10" name="TextBox 9">
          <a:hlinkClick xmlns:r="http://schemas.openxmlformats.org/officeDocument/2006/relationships" r:id="rId7"/>
          <a:extLst>
            <a:ext uri="{FF2B5EF4-FFF2-40B4-BE49-F238E27FC236}">
              <a16:creationId xmlns:a16="http://schemas.microsoft.com/office/drawing/2014/main" id="{0D77517A-F7EB-46EF-A415-7B2CEF4D8708}"/>
            </a:ext>
          </a:extLst>
        </xdr:cNvPr>
        <xdr:cNvSpPr txBox="1"/>
      </xdr:nvSpPr>
      <xdr:spPr>
        <a:xfrm>
          <a:off x="381000" y="5221943"/>
          <a:ext cx="1056555" cy="302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chemeClr val="bg1"/>
              </a:solidFill>
              <a:latin typeface="Poppins" panose="00000500000000000000" pitchFamily="2" charset="0"/>
              <a:cs typeface="Poppins" panose="00000500000000000000" pitchFamily="2" charset="0"/>
            </a:rPr>
            <a:t>Contact Me</a:t>
          </a:r>
        </a:p>
      </xdr:txBody>
    </xdr:sp>
    <xdr:clientData/>
  </xdr:twoCellAnchor>
  <xdr:twoCellAnchor>
    <xdr:from>
      <xdr:col>4</xdr:col>
      <xdr:colOff>0</xdr:colOff>
      <xdr:row>2</xdr:row>
      <xdr:rowOff>0</xdr:rowOff>
    </xdr:from>
    <xdr:to>
      <xdr:col>14</xdr:col>
      <xdr:colOff>0</xdr:colOff>
      <xdr:row>8</xdr:row>
      <xdr:rowOff>114300</xdr:rowOff>
    </xdr:to>
    <xdr:sp macro="" textlink="">
      <xdr:nvSpPr>
        <xdr:cNvPr id="13" name="Rectangle 12">
          <a:extLst>
            <a:ext uri="{FF2B5EF4-FFF2-40B4-BE49-F238E27FC236}">
              <a16:creationId xmlns:a16="http://schemas.microsoft.com/office/drawing/2014/main" id="{18E29568-10FB-48AB-BB03-CB581F6CF734}"/>
            </a:ext>
          </a:extLst>
        </xdr:cNvPr>
        <xdr:cNvSpPr/>
      </xdr:nvSpPr>
      <xdr:spPr>
        <a:xfrm>
          <a:off x="2438400" y="381000"/>
          <a:ext cx="6096000" cy="1257300"/>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4</xdr:col>
      <xdr:colOff>203200</xdr:colOff>
      <xdr:row>2</xdr:row>
      <xdr:rowOff>177800</xdr:rowOff>
    </xdr:from>
    <xdr:to>
      <xdr:col>14</xdr:col>
      <xdr:colOff>241300</xdr:colOff>
      <xdr:row>10</xdr:row>
      <xdr:rowOff>63500</xdr:rowOff>
    </xdr:to>
    <xdr:sp macro="" textlink="">
      <xdr:nvSpPr>
        <xdr:cNvPr id="15" name="Rectangle 14">
          <a:extLst>
            <a:ext uri="{FF2B5EF4-FFF2-40B4-BE49-F238E27FC236}">
              <a16:creationId xmlns:a16="http://schemas.microsoft.com/office/drawing/2014/main" id="{43544661-441B-47AF-A65E-629E790782B3}"/>
            </a:ext>
          </a:extLst>
        </xdr:cNvPr>
        <xdr:cNvSpPr/>
      </xdr:nvSpPr>
      <xdr:spPr>
        <a:xfrm>
          <a:off x="2641600" y="558800"/>
          <a:ext cx="6134100" cy="1409700"/>
        </a:xfrm>
        <a:prstGeom prst="rect">
          <a:avLst/>
        </a:prstGeom>
        <a:solidFill>
          <a:srgbClr val="33CCCC"/>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203200</xdr:colOff>
      <xdr:row>2</xdr:row>
      <xdr:rowOff>165100</xdr:rowOff>
    </xdr:from>
    <xdr:to>
      <xdr:col>14</xdr:col>
      <xdr:colOff>279400</xdr:colOff>
      <xdr:row>10</xdr:row>
      <xdr:rowOff>63500</xdr:rowOff>
    </xdr:to>
    <xdr:sp macro="" textlink="">
      <xdr:nvSpPr>
        <xdr:cNvPr id="16" name="TextBox 15">
          <a:extLst>
            <a:ext uri="{FF2B5EF4-FFF2-40B4-BE49-F238E27FC236}">
              <a16:creationId xmlns:a16="http://schemas.microsoft.com/office/drawing/2014/main" id="{53D17EA0-9201-425C-A432-923DD304AFDC}"/>
            </a:ext>
          </a:extLst>
        </xdr:cNvPr>
        <xdr:cNvSpPr txBox="1"/>
      </xdr:nvSpPr>
      <xdr:spPr>
        <a:xfrm>
          <a:off x="2641600" y="546100"/>
          <a:ext cx="6172200" cy="142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800" b="1">
              <a:solidFill>
                <a:schemeClr val="bg1"/>
              </a:solidFill>
              <a:latin typeface="POPPINS" panose="00000500000000000000" pitchFamily="2" charset="0"/>
              <a:cs typeface="POPPINS" panose="00000500000000000000" pitchFamily="2" charset="0"/>
            </a:rPr>
            <a:t>M</a:t>
          </a:r>
          <a:r>
            <a:rPr lang="en-ID" sz="2800" b="1" baseline="0">
              <a:solidFill>
                <a:schemeClr val="bg1"/>
              </a:solidFill>
              <a:latin typeface="POPPINS" panose="00000500000000000000" pitchFamily="2" charset="0"/>
              <a:cs typeface="POPPINS" panose="00000500000000000000" pitchFamily="2" charset="0"/>
            </a:rPr>
            <a:t> RAFFA IZZEL HENDRO</a:t>
          </a:r>
          <a:endParaRPr lang="en-ID" sz="2800" b="1">
            <a:solidFill>
              <a:schemeClr val="bg1"/>
            </a:solidFill>
            <a:latin typeface="POPPINS" panose="00000500000000000000" pitchFamily="2" charset="0"/>
            <a:cs typeface="POPPINS" panose="00000500000000000000" pitchFamily="2" charset="0"/>
          </a:endParaRPr>
        </a:p>
      </xdr:txBody>
    </xdr:sp>
    <xdr:clientData/>
  </xdr:twoCellAnchor>
  <xdr:twoCellAnchor>
    <xdr:from>
      <xdr:col>14</xdr:col>
      <xdr:colOff>596900</xdr:colOff>
      <xdr:row>1</xdr:row>
      <xdr:rowOff>177800</xdr:rowOff>
    </xdr:from>
    <xdr:to>
      <xdr:col>25</xdr:col>
      <xdr:colOff>457200</xdr:colOff>
      <xdr:row>9</xdr:row>
      <xdr:rowOff>0</xdr:rowOff>
    </xdr:to>
    <xdr:sp macro="" textlink="">
      <xdr:nvSpPr>
        <xdr:cNvPr id="17" name="TextBox 16">
          <a:extLst>
            <a:ext uri="{FF2B5EF4-FFF2-40B4-BE49-F238E27FC236}">
              <a16:creationId xmlns:a16="http://schemas.microsoft.com/office/drawing/2014/main" id="{AE0BAE35-D3BC-4640-98FC-78EBC56A5B7D}"/>
            </a:ext>
          </a:extLst>
        </xdr:cNvPr>
        <xdr:cNvSpPr txBox="1"/>
      </xdr:nvSpPr>
      <xdr:spPr>
        <a:xfrm>
          <a:off x="9131300" y="368300"/>
          <a:ext cx="6565900" cy="1346200"/>
        </a:xfrm>
        <a:prstGeom prst="rect">
          <a:avLst/>
        </a:prstGeom>
        <a:solidFill>
          <a:srgbClr val="0FA3A3"/>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D" sz="2000">
              <a:latin typeface="POPPINS" panose="00000500000000000000" pitchFamily="2" charset="0"/>
              <a:cs typeface="POPPINS" panose="00000500000000000000" pitchFamily="2" charset="0"/>
            </a:rPr>
            <a:t>  </a:t>
          </a:r>
          <a:r>
            <a:rPr lang="en-ID" sz="2000">
              <a:solidFill>
                <a:schemeClr val="bg1"/>
              </a:solidFill>
              <a:latin typeface="POPPINS" panose="00000500000000000000" pitchFamily="2" charset="0"/>
              <a:cs typeface="POPPINS" panose="00000500000000000000" pitchFamily="2" charset="0"/>
            </a:rPr>
            <a:t>Role</a:t>
          </a:r>
        </a:p>
      </xdr:txBody>
    </xdr:sp>
    <xdr:clientData/>
  </xdr:twoCellAnchor>
  <xdr:twoCellAnchor>
    <xdr:from>
      <xdr:col>15</xdr:col>
      <xdr:colOff>228600</xdr:colOff>
      <xdr:row>4</xdr:row>
      <xdr:rowOff>114300</xdr:rowOff>
    </xdr:from>
    <xdr:to>
      <xdr:col>26</xdr:col>
      <xdr:colOff>50800</xdr:colOff>
      <xdr:row>10</xdr:row>
      <xdr:rowOff>114300</xdr:rowOff>
    </xdr:to>
    <xdr:sp macro="" textlink="">
      <xdr:nvSpPr>
        <xdr:cNvPr id="18" name="TextBox 17">
          <a:extLst>
            <a:ext uri="{FF2B5EF4-FFF2-40B4-BE49-F238E27FC236}">
              <a16:creationId xmlns:a16="http://schemas.microsoft.com/office/drawing/2014/main" id="{87356575-34DA-4466-AD21-955C6A11A4FD}"/>
            </a:ext>
          </a:extLst>
        </xdr:cNvPr>
        <xdr:cNvSpPr txBox="1"/>
      </xdr:nvSpPr>
      <xdr:spPr>
        <a:xfrm>
          <a:off x="9372600" y="876300"/>
          <a:ext cx="6527800" cy="1143000"/>
        </a:xfrm>
        <a:prstGeom prst="rect">
          <a:avLst/>
        </a:prstGeom>
        <a:solidFill>
          <a:schemeClr val="l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200">
              <a:solidFill>
                <a:srgbClr val="33CCCC"/>
              </a:solidFill>
              <a:latin typeface="POPPINS" panose="00000500000000000000" pitchFamily="2" charset="0"/>
              <a:cs typeface="POPPINS" panose="00000500000000000000" pitchFamily="2" charset="0"/>
            </a:rPr>
            <a:t>Data</a:t>
          </a:r>
          <a:r>
            <a:rPr lang="en-ID" sz="2200" baseline="0">
              <a:solidFill>
                <a:srgbClr val="33CCCC"/>
              </a:solidFill>
              <a:latin typeface="POPPINS" panose="00000500000000000000" pitchFamily="2" charset="0"/>
              <a:cs typeface="POPPINS" panose="00000500000000000000" pitchFamily="2" charset="0"/>
            </a:rPr>
            <a:t> Analyst Enthusiant | SMK Student </a:t>
          </a:r>
          <a:endParaRPr lang="en-ID" sz="2200">
            <a:solidFill>
              <a:srgbClr val="33CCCC"/>
            </a:solidFill>
            <a:latin typeface="POPPINS" panose="00000500000000000000" pitchFamily="2" charset="0"/>
            <a:cs typeface="POPPINS" panose="00000500000000000000" pitchFamily="2" charset="0"/>
          </a:endParaRPr>
        </a:p>
      </xdr:txBody>
    </xdr:sp>
    <xdr:clientData/>
  </xdr:twoCellAnchor>
  <xdr:twoCellAnchor>
    <xdr:from>
      <xdr:col>16</xdr:col>
      <xdr:colOff>292100</xdr:colOff>
      <xdr:row>3</xdr:row>
      <xdr:rowOff>152400</xdr:rowOff>
    </xdr:from>
    <xdr:to>
      <xdr:col>19</xdr:col>
      <xdr:colOff>0</xdr:colOff>
      <xdr:row>3</xdr:row>
      <xdr:rowOff>152400</xdr:rowOff>
    </xdr:to>
    <xdr:cxnSp macro="">
      <xdr:nvCxnSpPr>
        <xdr:cNvPr id="22" name="Straight Connector 21">
          <a:extLst>
            <a:ext uri="{FF2B5EF4-FFF2-40B4-BE49-F238E27FC236}">
              <a16:creationId xmlns:a16="http://schemas.microsoft.com/office/drawing/2014/main" id="{F15FC3EC-1011-4BBE-855F-BFF1EF4D9762}"/>
            </a:ext>
          </a:extLst>
        </xdr:cNvPr>
        <xdr:cNvCxnSpPr/>
      </xdr:nvCxnSpPr>
      <xdr:spPr>
        <a:xfrm>
          <a:off x="10045700" y="723900"/>
          <a:ext cx="1536700" cy="0"/>
        </a:xfrm>
        <a:prstGeom prst="line">
          <a:avLst/>
        </a:prstGeom>
        <a:ln w="9525" cap="flat" cmpd="sng" algn="ctr">
          <a:solidFill>
            <a:schemeClr val="bg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0</xdr:colOff>
      <xdr:row>11</xdr:row>
      <xdr:rowOff>88900</xdr:rowOff>
    </xdr:from>
    <xdr:to>
      <xdr:col>5</xdr:col>
      <xdr:colOff>101600</xdr:colOff>
      <xdr:row>28</xdr:row>
      <xdr:rowOff>12700</xdr:rowOff>
    </xdr:to>
    <xdr:sp macro="" textlink="">
      <xdr:nvSpPr>
        <xdr:cNvPr id="23" name="Rectangle 22">
          <a:extLst>
            <a:ext uri="{FF2B5EF4-FFF2-40B4-BE49-F238E27FC236}">
              <a16:creationId xmlns:a16="http://schemas.microsoft.com/office/drawing/2014/main" id="{3FBA395E-C372-42C4-ACFD-EAD6D36F56C7}"/>
            </a:ext>
          </a:extLst>
        </xdr:cNvPr>
        <xdr:cNvSpPr/>
      </xdr:nvSpPr>
      <xdr:spPr>
        <a:xfrm>
          <a:off x="2438400" y="2184400"/>
          <a:ext cx="711200" cy="31623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000" b="1">
              <a:latin typeface="POPPINS" panose="00000500000000000000" pitchFamily="2" charset="0"/>
              <a:cs typeface="POPPINS" panose="00000500000000000000" pitchFamily="2" charset="0"/>
            </a:rPr>
            <a:t>K</a:t>
          </a:r>
        </a:p>
        <a:p>
          <a:pPr algn="ctr"/>
          <a:r>
            <a:rPr lang="en-ID" sz="2000" b="1">
              <a:latin typeface="POPPINS" panose="00000500000000000000" pitchFamily="2" charset="0"/>
              <a:cs typeface="POPPINS" panose="00000500000000000000" pitchFamily="2" charset="0"/>
            </a:rPr>
            <a:t>O</a:t>
          </a:r>
        </a:p>
        <a:p>
          <a:pPr algn="ctr"/>
          <a:r>
            <a:rPr lang="en-ID" sz="2000" b="1">
              <a:latin typeface="POPPINS" panose="00000500000000000000" pitchFamily="2" charset="0"/>
              <a:cs typeface="POPPINS" panose="00000500000000000000" pitchFamily="2" charset="0"/>
            </a:rPr>
            <a:t>N</a:t>
          </a:r>
        </a:p>
        <a:p>
          <a:pPr algn="ctr"/>
          <a:r>
            <a:rPr lang="en-ID" sz="2000" b="1">
              <a:latin typeface="POPPINS" panose="00000500000000000000" pitchFamily="2" charset="0"/>
              <a:cs typeface="POPPINS" panose="00000500000000000000" pitchFamily="2" charset="0"/>
            </a:rPr>
            <a:t>T</a:t>
          </a:r>
        </a:p>
        <a:p>
          <a:pPr algn="ctr"/>
          <a:r>
            <a:rPr lang="en-ID" sz="2000" b="1">
              <a:latin typeface="POPPINS" panose="00000500000000000000" pitchFamily="2" charset="0"/>
              <a:cs typeface="POPPINS" panose="00000500000000000000" pitchFamily="2" charset="0"/>
            </a:rPr>
            <a:t>A</a:t>
          </a:r>
        </a:p>
        <a:p>
          <a:pPr algn="ctr"/>
          <a:r>
            <a:rPr lang="en-ID" sz="2000" b="1">
              <a:latin typeface="POPPINS" panose="00000500000000000000" pitchFamily="2" charset="0"/>
              <a:cs typeface="POPPINS" panose="00000500000000000000" pitchFamily="2" charset="0"/>
            </a:rPr>
            <a:t>K</a:t>
          </a:r>
        </a:p>
      </xdr:txBody>
    </xdr:sp>
    <xdr:clientData/>
  </xdr:twoCellAnchor>
  <xdr:twoCellAnchor>
    <xdr:from>
      <xdr:col>4</xdr:col>
      <xdr:colOff>114300</xdr:colOff>
      <xdr:row>12</xdr:row>
      <xdr:rowOff>50800</xdr:rowOff>
    </xdr:from>
    <xdr:to>
      <xdr:col>5</xdr:col>
      <xdr:colOff>215900</xdr:colOff>
      <xdr:row>28</xdr:row>
      <xdr:rowOff>165100</xdr:rowOff>
    </xdr:to>
    <xdr:sp macro="" textlink="">
      <xdr:nvSpPr>
        <xdr:cNvPr id="24" name="Rectangle 23">
          <a:extLst>
            <a:ext uri="{FF2B5EF4-FFF2-40B4-BE49-F238E27FC236}">
              <a16:creationId xmlns:a16="http://schemas.microsoft.com/office/drawing/2014/main" id="{FF5ED15D-F5B1-44EF-898F-7FC8FAB9C2EC}"/>
            </a:ext>
          </a:extLst>
        </xdr:cNvPr>
        <xdr:cNvSpPr/>
      </xdr:nvSpPr>
      <xdr:spPr>
        <a:xfrm>
          <a:off x="2552700" y="2336800"/>
          <a:ext cx="711200" cy="3162300"/>
        </a:xfrm>
        <a:prstGeom prst="rect">
          <a:avLst/>
        </a:prstGeom>
        <a:solidFill>
          <a:srgbClr val="0FA3A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000" b="1">
              <a:latin typeface="POPPINS" panose="00000500000000000000" pitchFamily="2" charset="0"/>
              <a:cs typeface="POPPINS" panose="00000500000000000000" pitchFamily="2" charset="0"/>
            </a:rPr>
            <a:t>K</a:t>
          </a:r>
        </a:p>
        <a:p>
          <a:pPr algn="ctr"/>
          <a:r>
            <a:rPr lang="en-ID" sz="2000" b="1">
              <a:latin typeface="POPPINS" panose="00000500000000000000" pitchFamily="2" charset="0"/>
              <a:cs typeface="POPPINS" panose="00000500000000000000" pitchFamily="2" charset="0"/>
            </a:rPr>
            <a:t>O</a:t>
          </a:r>
        </a:p>
        <a:p>
          <a:pPr algn="ctr"/>
          <a:r>
            <a:rPr lang="en-ID" sz="2000" b="1">
              <a:latin typeface="POPPINS" panose="00000500000000000000" pitchFamily="2" charset="0"/>
              <a:cs typeface="POPPINS" panose="00000500000000000000" pitchFamily="2" charset="0"/>
            </a:rPr>
            <a:t>N</a:t>
          </a:r>
        </a:p>
        <a:p>
          <a:pPr algn="ctr"/>
          <a:r>
            <a:rPr lang="en-ID" sz="2000" b="1">
              <a:latin typeface="POPPINS" panose="00000500000000000000" pitchFamily="2" charset="0"/>
              <a:cs typeface="POPPINS" panose="00000500000000000000" pitchFamily="2" charset="0"/>
            </a:rPr>
            <a:t>T</a:t>
          </a:r>
        </a:p>
        <a:p>
          <a:pPr algn="ctr"/>
          <a:r>
            <a:rPr lang="en-ID" sz="2000" b="1">
              <a:latin typeface="POPPINS" panose="00000500000000000000" pitchFamily="2" charset="0"/>
              <a:cs typeface="POPPINS" panose="00000500000000000000" pitchFamily="2" charset="0"/>
            </a:rPr>
            <a:t>A</a:t>
          </a:r>
        </a:p>
        <a:p>
          <a:pPr algn="ctr"/>
          <a:r>
            <a:rPr lang="en-ID" sz="2000" b="1">
              <a:latin typeface="POPPINS" panose="00000500000000000000" pitchFamily="2" charset="0"/>
              <a:cs typeface="POPPINS" panose="00000500000000000000" pitchFamily="2" charset="0"/>
            </a:rPr>
            <a:t>K</a:t>
          </a:r>
        </a:p>
      </xdr:txBody>
    </xdr:sp>
    <xdr:clientData/>
  </xdr:twoCellAnchor>
  <xdr:twoCellAnchor>
    <xdr:from>
      <xdr:col>5</xdr:col>
      <xdr:colOff>558800</xdr:colOff>
      <xdr:row>11</xdr:row>
      <xdr:rowOff>165100</xdr:rowOff>
    </xdr:from>
    <xdr:to>
      <xdr:col>25</xdr:col>
      <xdr:colOff>571500</xdr:colOff>
      <xdr:row>28</xdr:row>
      <xdr:rowOff>114300</xdr:rowOff>
    </xdr:to>
    <xdr:sp macro="" textlink="">
      <xdr:nvSpPr>
        <xdr:cNvPr id="25" name="Rectangle 24">
          <a:extLst>
            <a:ext uri="{FF2B5EF4-FFF2-40B4-BE49-F238E27FC236}">
              <a16:creationId xmlns:a16="http://schemas.microsoft.com/office/drawing/2014/main" id="{AA7DE0B1-0BDF-46F4-A468-D73CE0345DCD}"/>
            </a:ext>
          </a:extLst>
        </xdr:cNvPr>
        <xdr:cNvSpPr/>
      </xdr:nvSpPr>
      <xdr:spPr>
        <a:xfrm>
          <a:off x="3606800" y="2260600"/>
          <a:ext cx="12204700" cy="31877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127000</xdr:colOff>
      <xdr:row>12</xdr:row>
      <xdr:rowOff>127000</xdr:rowOff>
    </xdr:from>
    <xdr:to>
      <xdr:col>14</xdr:col>
      <xdr:colOff>228600</xdr:colOff>
      <xdr:row>16</xdr:row>
      <xdr:rowOff>177800</xdr:rowOff>
    </xdr:to>
    <xdr:sp macro="" textlink="">
      <xdr:nvSpPr>
        <xdr:cNvPr id="26" name="TextBox 25">
          <a:extLst>
            <a:ext uri="{FF2B5EF4-FFF2-40B4-BE49-F238E27FC236}">
              <a16:creationId xmlns:a16="http://schemas.microsoft.com/office/drawing/2014/main" id="{6EE7EF8E-D9F8-47C4-8F4D-6E894BE1B78F}"/>
            </a:ext>
          </a:extLst>
        </xdr:cNvPr>
        <xdr:cNvSpPr txBox="1"/>
      </xdr:nvSpPr>
      <xdr:spPr>
        <a:xfrm>
          <a:off x="3784600" y="2413000"/>
          <a:ext cx="4978400" cy="812800"/>
        </a:xfrm>
        <a:prstGeom prst="rect">
          <a:avLst/>
        </a:prstGeom>
        <a:noFill/>
        <a:ln w="9525" cmpd="sng">
          <a:solidFill>
            <a:srgbClr val="0FA3A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2000" b="1">
              <a:solidFill>
                <a:srgbClr val="0FA3A3"/>
              </a:solidFill>
              <a:latin typeface="POPPINS" panose="00000500000000000000" pitchFamily="2" charset="0"/>
              <a:cs typeface="POPPINS" panose="00000500000000000000" pitchFamily="2" charset="0"/>
            </a:rPr>
            <a:t>             email</a:t>
          </a:r>
        </a:p>
      </xdr:txBody>
    </xdr:sp>
    <xdr:clientData/>
  </xdr:twoCellAnchor>
  <xdr:twoCellAnchor>
    <xdr:from>
      <xdr:col>6</xdr:col>
      <xdr:colOff>127000</xdr:colOff>
      <xdr:row>17</xdr:row>
      <xdr:rowOff>139700</xdr:rowOff>
    </xdr:from>
    <xdr:to>
      <xdr:col>14</xdr:col>
      <xdr:colOff>228600</xdr:colOff>
      <xdr:row>21</xdr:row>
      <xdr:rowOff>165100</xdr:rowOff>
    </xdr:to>
    <xdr:sp macro="" textlink="">
      <xdr:nvSpPr>
        <xdr:cNvPr id="27" name="TextBox 26">
          <a:extLst>
            <a:ext uri="{FF2B5EF4-FFF2-40B4-BE49-F238E27FC236}">
              <a16:creationId xmlns:a16="http://schemas.microsoft.com/office/drawing/2014/main" id="{22F5D928-A1D3-424E-AE0C-F85B58317525}"/>
            </a:ext>
          </a:extLst>
        </xdr:cNvPr>
        <xdr:cNvSpPr txBox="1"/>
      </xdr:nvSpPr>
      <xdr:spPr>
        <a:xfrm>
          <a:off x="3784600" y="3378200"/>
          <a:ext cx="4978400" cy="787400"/>
        </a:xfrm>
        <a:prstGeom prst="rect">
          <a:avLst/>
        </a:prstGeom>
        <a:noFill/>
        <a:ln w="9525" cmpd="sng">
          <a:solidFill>
            <a:srgbClr val="0FA3A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2000" b="1">
              <a:solidFill>
                <a:srgbClr val="0FA3A3"/>
              </a:solidFill>
              <a:latin typeface="POPPINS" panose="00000500000000000000" pitchFamily="2" charset="0"/>
              <a:cs typeface="POPPINS" panose="00000500000000000000" pitchFamily="2" charset="0"/>
            </a:rPr>
            <a:t>   Linked / IG / Github</a:t>
          </a:r>
        </a:p>
      </xdr:txBody>
    </xdr:sp>
    <xdr:clientData/>
  </xdr:twoCellAnchor>
  <xdr:twoCellAnchor>
    <xdr:from>
      <xdr:col>6</xdr:col>
      <xdr:colOff>127000</xdr:colOff>
      <xdr:row>22</xdr:row>
      <xdr:rowOff>139700</xdr:rowOff>
    </xdr:from>
    <xdr:to>
      <xdr:col>14</xdr:col>
      <xdr:colOff>228600</xdr:colOff>
      <xdr:row>27</xdr:row>
      <xdr:rowOff>25400</xdr:rowOff>
    </xdr:to>
    <xdr:sp macro="" textlink="">
      <xdr:nvSpPr>
        <xdr:cNvPr id="28" name="TextBox 27">
          <a:extLst>
            <a:ext uri="{FF2B5EF4-FFF2-40B4-BE49-F238E27FC236}">
              <a16:creationId xmlns:a16="http://schemas.microsoft.com/office/drawing/2014/main" id="{5E7C6501-568F-4766-B750-FEC009F5A280}"/>
            </a:ext>
          </a:extLst>
        </xdr:cNvPr>
        <xdr:cNvSpPr txBox="1"/>
      </xdr:nvSpPr>
      <xdr:spPr>
        <a:xfrm>
          <a:off x="3784600" y="4330700"/>
          <a:ext cx="4978400" cy="838200"/>
        </a:xfrm>
        <a:prstGeom prst="rect">
          <a:avLst/>
        </a:prstGeom>
        <a:noFill/>
        <a:ln w="9525" cmpd="sng">
          <a:solidFill>
            <a:srgbClr val="0FA3A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2000" b="1">
              <a:solidFill>
                <a:srgbClr val="0FA3A3"/>
              </a:solidFill>
              <a:latin typeface="POPPINS" panose="00000500000000000000" pitchFamily="2" charset="0"/>
              <a:cs typeface="POPPINS" panose="00000500000000000000" pitchFamily="2" charset="0"/>
            </a:rPr>
            <a:t>             No HP</a:t>
          </a:r>
        </a:p>
      </xdr:txBody>
    </xdr:sp>
    <xdr:clientData/>
  </xdr:twoCellAnchor>
  <xdr:twoCellAnchor>
    <xdr:from>
      <xdr:col>13</xdr:col>
      <xdr:colOff>114300</xdr:colOff>
      <xdr:row>12</xdr:row>
      <xdr:rowOff>38100</xdr:rowOff>
    </xdr:from>
    <xdr:to>
      <xdr:col>14</xdr:col>
      <xdr:colOff>419100</xdr:colOff>
      <xdr:row>17</xdr:row>
      <xdr:rowOff>0</xdr:rowOff>
    </xdr:to>
    <xdr:sp macro="" textlink="">
      <xdr:nvSpPr>
        <xdr:cNvPr id="33" name="Rectangle 32">
          <a:extLst>
            <a:ext uri="{FF2B5EF4-FFF2-40B4-BE49-F238E27FC236}">
              <a16:creationId xmlns:a16="http://schemas.microsoft.com/office/drawing/2014/main" id="{252F672A-71BE-41F0-B1B8-CCF9344488A3}"/>
            </a:ext>
          </a:extLst>
        </xdr:cNvPr>
        <xdr:cNvSpPr/>
      </xdr:nvSpPr>
      <xdr:spPr>
        <a:xfrm>
          <a:off x="8039100" y="2324100"/>
          <a:ext cx="914400" cy="914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3200">
              <a:solidFill>
                <a:srgbClr val="0FA3A3"/>
              </a:solidFill>
              <a:effectLst>
                <a:outerShdw blurRad="50800" dist="38100" dir="2700000" algn="tl" rotWithShape="0">
                  <a:prstClr val="black">
                    <a:alpha val="40000"/>
                  </a:prstClr>
                </a:outerShdw>
              </a:effectLst>
              <a:latin typeface="POPPINS" panose="00000500000000000000" pitchFamily="2" charset="0"/>
              <a:cs typeface="POPPINS" panose="00000500000000000000" pitchFamily="2" charset="0"/>
            </a:rPr>
            <a:t>:</a:t>
          </a:r>
        </a:p>
      </xdr:txBody>
    </xdr:sp>
    <xdr:clientData/>
  </xdr:twoCellAnchor>
  <xdr:twoCellAnchor>
    <xdr:from>
      <xdr:col>13</xdr:col>
      <xdr:colOff>127000</xdr:colOff>
      <xdr:row>17</xdr:row>
      <xdr:rowOff>63500</xdr:rowOff>
    </xdr:from>
    <xdr:to>
      <xdr:col>14</xdr:col>
      <xdr:colOff>431800</xdr:colOff>
      <xdr:row>22</xdr:row>
      <xdr:rowOff>25400</xdr:rowOff>
    </xdr:to>
    <xdr:sp macro="" textlink="">
      <xdr:nvSpPr>
        <xdr:cNvPr id="34" name="Rectangle 33">
          <a:extLst>
            <a:ext uri="{FF2B5EF4-FFF2-40B4-BE49-F238E27FC236}">
              <a16:creationId xmlns:a16="http://schemas.microsoft.com/office/drawing/2014/main" id="{160B7AE7-21FC-4794-A768-34E5C6F1A1C8}"/>
            </a:ext>
          </a:extLst>
        </xdr:cNvPr>
        <xdr:cNvSpPr/>
      </xdr:nvSpPr>
      <xdr:spPr>
        <a:xfrm>
          <a:off x="8051800" y="3302000"/>
          <a:ext cx="914400" cy="914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3200">
              <a:solidFill>
                <a:srgbClr val="0FA3A3"/>
              </a:solidFill>
              <a:effectLst>
                <a:outerShdw blurRad="50800" dist="38100" dir="2700000" algn="tl" rotWithShape="0">
                  <a:prstClr val="black">
                    <a:alpha val="40000"/>
                  </a:prstClr>
                </a:outerShdw>
              </a:effectLst>
              <a:latin typeface="POPPINS" panose="00000500000000000000" pitchFamily="2" charset="0"/>
              <a:cs typeface="POPPINS" panose="00000500000000000000" pitchFamily="2" charset="0"/>
            </a:rPr>
            <a:t>:</a:t>
          </a:r>
        </a:p>
      </xdr:txBody>
    </xdr:sp>
    <xdr:clientData/>
  </xdr:twoCellAnchor>
  <xdr:twoCellAnchor>
    <xdr:from>
      <xdr:col>13</xdr:col>
      <xdr:colOff>114300</xdr:colOff>
      <xdr:row>22</xdr:row>
      <xdr:rowOff>63500</xdr:rowOff>
    </xdr:from>
    <xdr:to>
      <xdr:col>14</xdr:col>
      <xdr:colOff>419100</xdr:colOff>
      <xdr:row>27</xdr:row>
      <xdr:rowOff>25400</xdr:rowOff>
    </xdr:to>
    <xdr:sp macro="" textlink="">
      <xdr:nvSpPr>
        <xdr:cNvPr id="35" name="Rectangle 34">
          <a:extLst>
            <a:ext uri="{FF2B5EF4-FFF2-40B4-BE49-F238E27FC236}">
              <a16:creationId xmlns:a16="http://schemas.microsoft.com/office/drawing/2014/main" id="{0455ACDE-D196-4575-9449-22EF106E10AF}"/>
            </a:ext>
          </a:extLst>
        </xdr:cNvPr>
        <xdr:cNvSpPr/>
      </xdr:nvSpPr>
      <xdr:spPr>
        <a:xfrm>
          <a:off x="8039100" y="4254500"/>
          <a:ext cx="914400" cy="914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3200">
              <a:solidFill>
                <a:srgbClr val="0FA3A3"/>
              </a:solidFill>
              <a:effectLst>
                <a:outerShdw blurRad="50800" dist="38100" dir="2700000" algn="tl" rotWithShape="0">
                  <a:prstClr val="black">
                    <a:alpha val="40000"/>
                  </a:prstClr>
                </a:outerShdw>
              </a:effectLst>
              <a:latin typeface="POPPINS" panose="00000500000000000000" pitchFamily="2" charset="0"/>
              <a:cs typeface="POPPINS" panose="00000500000000000000" pitchFamily="2" charset="0"/>
            </a:rPr>
            <a:t>:</a:t>
          </a:r>
        </a:p>
      </xdr:txBody>
    </xdr:sp>
    <xdr:clientData/>
  </xdr:twoCellAnchor>
  <xdr:twoCellAnchor>
    <xdr:from>
      <xdr:col>14</xdr:col>
      <xdr:colOff>469900</xdr:colOff>
      <xdr:row>12</xdr:row>
      <xdr:rowOff>101600</xdr:rowOff>
    </xdr:from>
    <xdr:to>
      <xdr:col>24</xdr:col>
      <xdr:colOff>76200</xdr:colOff>
      <xdr:row>16</xdr:row>
      <xdr:rowOff>177800</xdr:rowOff>
    </xdr:to>
    <xdr:sp macro="" textlink="">
      <xdr:nvSpPr>
        <xdr:cNvPr id="36" name="TextBox 35">
          <a:extLst>
            <a:ext uri="{FF2B5EF4-FFF2-40B4-BE49-F238E27FC236}">
              <a16:creationId xmlns:a16="http://schemas.microsoft.com/office/drawing/2014/main" id="{B1E544B6-6CE9-49A3-B4E2-FC458EDAC1DF}"/>
            </a:ext>
          </a:extLst>
        </xdr:cNvPr>
        <xdr:cNvSpPr txBox="1"/>
      </xdr:nvSpPr>
      <xdr:spPr>
        <a:xfrm>
          <a:off x="9004300" y="2387600"/>
          <a:ext cx="5702300" cy="838200"/>
        </a:xfrm>
        <a:prstGeom prst="rect">
          <a:avLst/>
        </a:prstGeom>
        <a:noFill/>
        <a:ln w="9525" cmpd="sng">
          <a:solidFill>
            <a:srgbClr val="0FA3A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2000">
              <a:solidFill>
                <a:srgbClr val="0FA3A3"/>
              </a:solidFill>
              <a:latin typeface="POPPINS" panose="00000500000000000000" pitchFamily="2" charset="0"/>
              <a:cs typeface="POPPINS" panose="00000500000000000000" pitchFamily="2" charset="0"/>
            </a:rPr>
            <a:t>  1mraffaizzelh@gmail.com</a:t>
          </a:r>
        </a:p>
      </xdr:txBody>
    </xdr:sp>
    <xdr:clientData/>
  </xdr:twoCellAnchor>
  <xdr:twoCellAnchor>
    <xdr:from>
      <xdr:col>14</xdr:col>
      <xdr:colOff>482600</xdr:colOff>
      <xdr:row>17</xdr:row>
      <xdr:rowOff>127000</xdr:rowOff>
    </xdr:from>
    <xdr:to>
      <xdr:col>24</xdr:col>
      <xdr:colOff>88900</xdr:colOff>
      <xdr:row>22</xdr:row>
      <xdr:rowOff>12700</xdr:rowOff>
    </xdr:to>
    <xdr:sp macro="" textlink="">
      <xdr:nvSpPr>
        <xdr:cNvPr id="37" name="TextBox 36">
          <a:extLst>
            <a:ext uri="{FF2B5EF4-FFF2-40B4-BE49-F238E27FC236}">
              <a16:creationId xmlns:a16="http://schemas.microsoft.com/office/drawing/2014/main" id="{B139C10F-A6F6-4C9C-8D50-27062FC95BBD}"/>
            </a:ext>
          </a:extLst>
        </xdr:cNvPr>
        <xdr:cNvSpPr txBox="1"/>
      </xdr:nvSpPr>
      <xdr:spPr>
        <a:xfrm>
          <a:off x="9017000" y="3365500"/>
          <a:ext cx="5702300" cy="838200"/>
        </a:xfrm>
        <a:prstGeom prst="rect">
          <a:avLst/>
        </a:prstGeom>
        <a:noFill/>
        <a:ln w="9525" cmpd="sng">
          <a:solidFill>
            <a:srgbClr val="0FA3A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1600">
              <a:solidFill>
                <a:srgbClr val="0FA3A3"/>
              </a:solidFill>
              <a:latin typeface="POPPINS" panose="00000500000000000000" pitchFamily="2" charset="0"/>
              <a:cs typeface="POPPINS" panose="00000500000000000000" pitchFamily="2" charset="0"/>
            </a:rPr>
            <a:t>       M</a:t>
          </a:r>
          <a:r>
            <a:rPr lang="en-ID" sz="1600" baseline="0">
              <a:solidFill>
                <a:srgbClr val="0FA3A3"/>
              </a:solidFill>
              <a:latin typeface="POPPINS" panose="00000500000000000000" pitchFamily="2" charset="0"/>
              <a:cs typeface="POPPINS" panose="00000500000000000000" pitchFamily="2" charset="0"/>
            </a:rPr>
            <a:t> Raffa Izzel Hendro /       RaffaHmii /       RaffaHmii</a:t>
          </a:r>
          <a:endParaRPr lang="en-ID" sz="1600">
            <a:solidFill>
              <a:srgbClr val="0FA3A3"/>
            </a:solidFill>
            <a:latin typeface="POPPINS" panose="00000500000000000000" pitchFamily="2" charset="0"/>
            <a:cs typeface="POPPINS" panose="00000500000000000000" pitchFamily="2" charset="0"/>
          </a:endParaRPr>
        </a:p>
      </xdr:txBody>
    </xdr:sp>
    <xdr:clientData/>
  </xdr:twoCellAnchor>
  <xdr:twoCellAnchor>
    <xdr:from>
      <xdr:col>14</xdr:col>
      <xdr:colOff>482600</xdr:colOff>
      <xdr:row>22</xdr:row>
      <xdr:rowOff>127000</xdr:rowOff>
    </xdr:from>
    <xdr:to>
      <xdr:col>24</xdr:col>
      <xdr:colOff>114300</xdr:colOff>
      <xdr:row>27</xdr:row>
      <xdr:rowOff>12700</xdr:rowOff>
    </xdr:to>
    <xdr:sp macro="" textlink="">
      <xdr:nvSpPr>
        <xdr:cNvPr id="38" name="TextBox 37">
          <a:extLst>
            <a:ext uri="{FF2B5EF4-FFF2-40B4-BE49-F238E27FC236}">
              <a16:creationId xmlns:a16="http://schemas.microsoft.com/office/drawing/2014/main" id="{DFE4069D-EDD3-41FF-AB86-0F24478F16D9}"/>
            </a:ext>
          </a:extLst>
        </xdr:cNvPr>
        <xdr:cNvSpPr txBox="1"/>
      </xdr:nvSpPr>
      <xdr:spPr>
        <a:xfrm>
          <a:off x="9017000" y="4318000"/>
          <a:ext cx="5727700" cy="838200"/>
        </a:xfrm>
        <a:prstGeom prst="rect">
          <a:avLst/>
        </a:prstGeom>
        <a:noFill/>
        <a:ln w="9525" cmpd="sng">
          <a:solidFill>
            <a:srgbClr val="0FA3A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2000" baseline="0">
              <a:solidFill>
                <a:srgbClr val="0FA3A3"/>
              </a:solidFill>
              <a:latin typeface="POPPINS" panose="00000500000000000000" pitchFamily="2" charset="0"/>
              <a:cs typeface="POPPINS" panose="00000500000000000000" pitchFamily="2" charset="0"/>
            </a:rPr>
            <a:t>  </a:t>
          </a:r>
          <a:r>
            <a:rPr lang="en-ID" sz="2000">
              <a:solidFill>
                <a:srgbClr val="0FA3A3"/>
              </a:solidFill>
              <a:latin typeface="POPPINS" panose="00000500000000000000" pitchFamily="2" charset="0"/>
              <a:cs typeface="POPPINS" panose="00000500000000000000" pitchFamily="2" charset="0"/>
            </a:rPr>
            <a:t>+62 895 - 3004 - 6420</a:t>
          </a:r>
        </a:p>
      </xdr:txBody>
    </xdr:sp>
    <xdr:clientData/>
  </xdr:twoCellAnchor>
  <xdr:twoCellAnchor editAs="oneCell">
    <xdr:from>
      <xdr:col>24</xdr:col>
      <xdr:colOff>152401</xdr:colOff>
      <xdr:row>12</xdr:row>
      <xdr:rowOff>88901</xdr:rowOff>
    </xdr:from>
    <xdr:to>
      <xdr:col>25</xdr:col>
      <xdr:colOff>431801</xdr:colOff>
      <xdr:row>17</xdr:row>
      <xdr:rowOff>7259</xdr:rowOff>
    </xdr:to>
    <xdr:pic>
      <xdr:nvPicPr>
        <xdr:cNvPr id="39" name="Picture 38">
          <a:extLst>
            <a:ext uri="{FF2B5EF4-FFF2-40B4-BE49-F238E27FC236}">
              <a16:creationId xmlns:a16="http://schemas.microsoft.com/office/drawing/2014/main" id="{4374DDB7-82C8-415C-9A02-32BB605F482E}"/>
            </a:ext>
          </a:extLst>
        </xdr:cNvPr>
        <xdr:cNvPicPr>
          <a:picLocks noChangeAspect="1"/>
        </xdr:cNvPicPr>
      </xdr:nvPicPr>
      <xdr:blipFill>
        <a:blip xmlns:r="http://schemas.openxmlformats.org/officeDocument/2006/relationships" r:embed="rId9"/>
        <a:stretch>
          <a:fillRect/>
        </a:stretch>
      </xdr:blipFill>
      <xdr:spPr>
        <a:xfrm>
          <a:off x="14782801" y="2374901"/>
          <a:ext cx="889000" cy="870858"/>
        </a:xfrm>
        <a:prstGeom prst="rect">
          <a:avLst/>
        </a:prstGeom>
      </xdr:spPr>
    </xdr:pic>
    <xdr:clientData/>
  </xdr:twoCellAnchor>
  <xdr:twoCellAnchor editAs="oneCell">
    <xdr:from>
      <xdr:col>24</xdr:col>
      <xdr:colOff>152401</xdr:colOff>
      <xdr:row>17</xdr:row>
      <xdr:rowOff>101601</xdr:rowOff>
    </xdr:from>
    <xdr:to>
      <xdr:col>25</xdr:col>
      <xdr:colOff>431801</xdr:colOff>
      <xdr:row>22</xdr:row>
      <xdr:rowOff>19959</xdr:rowOff>
    </xdr:to>
    <xdr:pic>
      <xdr:nvPicPr>
        <xdr:cNvPr id="40" name="Picture 39">
          <a:extLst>
            <a:ext uri="{FF2B5EF4-FFF2-40B4-BE49-F238E27FC236}">
              <a16:creationId xmlns:a16="http://schemas.microsoft.com/office/drawing/2014/main" id="{0694C753-EFAD-4103-8D84-CB5A460082C7}"/>
            </a:ext>
          </a:extLst>
        </xdr:cNvPr>
        <xdr:cNvPicPr>
          <a:picLocks noChangeAspect="1"/>
        </xdr:cNvPicPr>
      </xdr:nvPicPr>
      <xdr:blipFill>
        <a:blip xmlns:r="http://schemas.openxmlformats.org/officeDocument/2006/relationships" r:embed="rId9"/>
        <a:stretch>
          <a:fillRect/>
        </a:stretch>
      </xdr:blipFill>
      <xdr:spPr>
        <a:xfrm>
          <a:off x="14782801" y="3340101"/>
          <a:ext cx="889000" cy="870858"/>
        </a:xfrm>
        <a:prstGeom prst="rect">
          <a:avLst/>
        </a:prstGeom>
      </xdr:spPr>
    </xdr:pic>
    <xdr:clientData/>
  </xdr:twoCellAnchor>
  <xdr:twoCellAnchor editAs="oneCell">
    <xdr:from>
      <xdr:col>24</xdr:col>
      <xdr:colOff>165101</xdr:colOff>
      <xdr:row>22</xdr:row>
      <xdr:rowOff>101601</xdr:rowOff>
    </xdr:from>
    <xdr:to>
      <xdr:col>25</xdr:col>
      <xdr:colOff>444501</xdr:colOff>
      <xdr:row>27</xdr:row>
      <xdr:rowOff>19959</xdr:rowOff>
    </xdr:to>
    <xdr:pic>
      <xdr:nvPicPr>
        <xdr:cNvPr id="41" name="Picture 40">
          <a:extLst>
            <a:ext uri="{FF2B5EF4-FFF2-40B4-BE49-F238E27FC236}">
              <a16:creationId xmlns:a16="http://schemas.microsoft.com/office/drawing/2014/main" id="{4C1D9DC3-2770-4018-AB56-6360BE5FC466}"/>
            </a:ext>
          </a:extLst>
        </xdr:cNvPr>
        <xdr:cNvPicPr>
          <a:picLocks noChangeAspect="1"/>
        </xdr:cNvPicPr>
      </xdr:nvPicPr>
      <xdr:blipFill>
        <a:blip xmlns:r="http://schemas.openxmlformats.org/officeDocument/2006/relationships" r:embed="rId9"/>
        <a:stretch>
          <a:fillRect/>
        </a:stretch>
      </xdr:blipFill>
      <xdr:spPr>
        <a:xfrm>
          <a:off x="14795501" y="4292601"/>
          <a:ext cx="889000" cy="870858"/>
        </a:xfrm>
        <a:prstGeom prst="rect">
          <a:avLst/>
        </a:prstGeom>
      </xdr:spPr>
    </xdr:pic>
    <xdr:clientData/>
  </xdr:twoCellAnchor>
  <xdr:twoCellAnchor editAs="oneCell">
    <xdr:from>
      <xdr:col>15</xdr:col>
      <xdr:colOff>12700</xdr:colOff>
      <xdr:row>19</xdr:row>
      <xdr:rowOff>0</xdr:rowOff>
    </xdr:from>
    <xdr:to>
      <xdr:col>15</xdr:col>
      <xdr:colOff>368300</xdr:colOff>
      <xdr:row>20</xdr:row>
      <xdr:rowOff>165100</xdr:rowOff>
    </xdr:to>
    <xdr:pic>
      <xdr:nvPicPr>
        <xdr:cNvPr id="43" name="Picture 42">
          <a:extLst>
            <a:ext uri="{FF2B5EF4-FFF2-40B4-BE49-F238E27FC236}">
              <a16:creationId xmlns:a16="http://schemas.microsoft.com/office/drawing/2014/main" id="{692DFD5A-77D9-4C67-9430-375EAAF71DF4}"/>
            </a:ext>
          </a:extLst>
        </xdr:cNvPr>
        <xdr:cNvPicPr>
          <a:picLocks noChangeAspect="1"/>
        </xdr:cNvPicPr>
      </xdr:nvPicPr>
      <xdr:blipFill>
        <a:blip xmlns:r="http://schemas.openxmlformats.org/officeDocument/2006/relationships" r:embed="rId10"/>
        <a:stretch>
          <a:fillRect/>
        </a:stretch>
      </xdr:blipFill>
      <xdr:spPr>
        <a:xfrm>
          <a:off x="9156700" y="3619500"/>
          <a:ext cx="355600" cy="355600"/>
        </a:xfrm>
        <a:prstGeom prst="rect">
          <a:avLst/>
        </a:prstGeom>
      </xdr:spPr>
    </xdr:pic>
    <xdr:clientData/>
  </xdr:twoCellAnchor>
  <xdr:twoCellAnchor editAs="oneCell">
    <xdr:from>
      <xdr:col>19</xdr:col>
      <xdr:colOff>76200</xdr:colOff>
      <xdr:row>19</xdr:row>
      <xdr:rowOff>0</xdr:rowOff>
    </xdr:from>
    <xdr:to>
      <xdr:col>19</xdr:col>
      <xdr:colOff>436200</xdr:colOff>
      <xdr:row>20</xdr:row>
      <xdr:rowOff>169500</xdr:rowOff>
    </xdr:to>
    <xdr:pic>
      <xdr:nvPicPr>
        <xdr:cNvPr id="44" name="Picture 43">
          <a:extLst>
            <a:ext uri="{FF2B5EF4-FFF2-40B4-BE49-F238E27FC236}">
              <a16:creationId xmlns:a16="http://schemas.microsoft.com/office/drawing/2014/main" id="{E79727CC-7CE2-40AB-B839-06CC6B960935}"/>
            </a:ext>
          </a:extLst>
        </xdr:cNvPr>
        <xdr:cNvPicPr>
          <a:picLocks noChangeAspect="1"/>
        </xdr:cNvPicPr>
      </xdr:nvPicPr>
      <xdr:blipFill>
        <a:blip xmlns:r="http://schemas.openxmlformats.org/officeDocument/2006/relationships" r:embed="rId11"/>
        <a:stretch>
          <a:fillRect/>
        </a:stretch>
      </xdr:blipFill>
      <xdr:spPr>
        <a:xfrm>
          <a:off x="11658600" y="3619500"/>
          <a:ext cx="360000" cy="360000"/>
        </a:xfrm>
        <a:prstGeom prst="rect">
          <a:avLst/>
        </a:prstGeom>
      </xdr:spPr>
    </xdr:pic>
    <xdr:clientData/>
  </xdr:twoCellAnchor>
  <xdr:twoCellAnchor editAs="oneCell">
    <xdr:from>
      <xdr:col>21</xdr:col>
      <xdr:colOff>342900</xdr:colOff>
      <xdr:row>18</xdr:row>
      <xdr:rowOff>177800</xdr:rowOff>
    </xdr:from>
    <xdr:to>
      <xdr:col>22</xdr:col>
      <xdr:colOff>93300</xdr:colOff>
      <xdr:row>20</xdr:row>
      <xdr:rowOff>156800</xdr:rowOff>
    </xdr:to>
    <xdr:pic>
      <xdr:nvPicPr>
        <xdr:cNvPr id="45" name="Picture 44">
          <a:extLst>
            <a:ext uri="{FF2B5EF4-FFF2-40B4-BE49-F238E27FC236}">
              <a16:creationId xmlns:a16="http://schemas.microsoft.com/office/drawing/2014/main" id="{40F352A4-39BF-4385-818A-18189B12CBB8}"/>
            </a:ext>
          </a:extLst>
        </xdr:cNvPr>
        <xdr:cNvPicPr>
          <a:picLocks noChangeAspect="1"/>
        </xdr:cNvPicPr>
      </xdr:nvPicPr>
      <xdr:blipFill>
        <a:blip xmlns:r="http://schemas.openxmlformats.org/officeDocument/2006/relationships" r:embed="rId12"/>
        <a:stretch>
          <a:fillRect/>
        </a:stretch>
      </xdr:blipFill>
      <xdr:spPr>
        <a:xfrm>
          <a:off x="13144500" y="3606800"/>
          <a:ext cx="360000" cy="360000"/>
        </a:xfrm>
        <a:prstGeom prst="rect">
          <a:avLst/>
        </a:prstGeom>
      </xdr:spPr>
    </xdr:pic>
    <xdr:clientData/>
  </xdr:twoCellAnchor>
  <xdr:twoCellAnchor editAs="oneCell">
    <xdr:from>
      <xdr:col>6</xdr:col>
      <xdr:colOff>292100</xdr:colOff>
      <xdr:row>13</xdr:row>
      <xdr:rowOff>88900</xdr:rowOff>
    </xdr:from>
    <xdr:to>
      <xdr:col>7</xdr:col>
      <xdr:colOff>222500</xdr:colOff>
      <xdr:row>16</xdr:row>
      <xdr:rowOff>57400</xdr:rowOff>
    </xdr:to>
    <xdr:pic>
      <xdr:nvPicPr>
        <xdr:cNvPr id="46" name="Picture 45">
          <a:extLst>
            <a:ext uri="{FF2B5EF4-FFF2-40B4-BE49-F238E27FC236}">
              <a16:creationId xmlns:a16="http://schemas.microsoft.com/office/drawing/2014/main" id="{5CA2CBAD-E60A-40A1-BA39-87A3E057FCFC}"/>
            </a:ext>
          </a:extLst>
        </xdr:cNvPr>
        <xdr:cNvPicPr>
          <a:picLocks noChangeAspect="1"/>
        </xdr:cNvPicPr>
      </xdr:nvPicPr>
      <xdr:blipFill>
        <a:blip xmlns:r="http://schemas.openxmlformats.org/officeDocument/2006/relationships" r:embed="rId13"/>
        <a:stretch>
          <a:fillRect/>
        </a:stretch>
      </xdr:blipFill>
      <xdr:spPr>
        <a:xfrm>
          <a:off x="3949700" y="2565400"/>
          <a:ext cx="540000" cy="540000"/>
        </a:xfrm>
        <a:prstGeom prst="rect">
          <a:avLst/>
        </a:prstGeom>
      </xdr:spPr>
    </xdr:pic>
    <xdr:clientData/>
  </xdr:twoCellAnchor>
  <xdr:twoCellAnchor editAs="oneCell">
    <xdr:from>
      <xdr:col>6</xdr:col>
      <xdr:colOff>317500</xdr:colOff>
      <xdr:row>23</xdr:row>
      <xdr:rowOff>88900</xdr:rowOff>
    </xdr:from>
    <xdr:to>
      <xdr:col>7</xdr:col>
      <xdr:colOff>247900</xdr:colOff>
      <xdr:row>26</xdr:row>
      <xdr:rowOff>57400</xdr:rowOff>
    </xdr:to>
    <xdr:pic>
      <xdr:nvPicPr>
        <xdr:cNvPr id="47" name="Picture 46">
          <a:extLst>
            <a:ext uri="{FF2B5EF4-FFF2-40B4-BE49-F238E27FC236}">
              <a16:creationId xmlns:a16="http://schemas.microsoft.com/office/drawing/2014/main" id="{C69C7CE3-C26B-4E99-A5E1-1A060B416C92}"/>
            </a:ext>
          </a:extLst>
        </xdr:cNvPr>
        <xdr:cNvPicPr>
          <a:picLocks noChangeAspect="1"/>
        </xdr:cNvPicPr>
      </xdr:nvPicPr>
      <xdr:blipFill>
        <a:blip xmlns:r="http://schemas.openxmlformats.org/officeDocument/2006/relationships" r:embed="rId14"/>
        <a:stretch>
          <a:fillRect/>
        </a:stretch>
      </xdr:blipFill>
      <xdr:spPr>
        <a:xfrm>
          <a:off x="3975100" y="4470400"/>
          <a:ext cx="540000" cy="540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af" refreshedDate="45945.793941087963" missingItemsLimit="0" createdVersion="7" refreshedVersion="7" minRefreshableVersion="3" recordCount="991" xr:uid="{40285059-D84E-46CE-B503-180584C45126}">
  <cacheSource type="worksheet">
    <worksheetSource name="Table1"/>
  </cacheSource>
  <cacheFields count="14">
    <cacheField name="Transaction_ID" numFmtId="0">
      <sharedItems count="986">
        <s v="TRX-1000"/>
        <s v="TRX-1001"/>
        <s v="TRX-1002"/>
        <s v="TRX-1003"/>
        <s v="TRX-1004"/>
        <s v="TRX-1005"/>
        <s v="TRX-1006"/>
        <s v="TRX-1007"/>
        <s v="TRX-1008"/>
        <s v="TRX-1009"/>
        <s v="TRX-1010"/>
        <s v="TRX-1011"/>
        <s v="TRX-1012"/>
        <s v="TRX-1013"/>
        <s v="TRX-1014"/>
        <s v="TRX-1015"/>
        <s v="TRX-1016"/>
        <s v="TRX-1017"/>
        <s v="TRX-1018"/>
        <s v="TRX-1019"/>
        <s v="TRX-1020"/>
        <s v="TRX-1021"/>
        <s v="TRX-1022"/>
        <s v="TRX-1023"/>
        <s v="TRX-1024"/>
        <s v="TRX-1025"/>
        <s v="TRX-1026"/>
        <s v="TRX-1027"/>
        <s v="TRX-1028"/>
        <s v="TRX-1029"/>
        <s v="TRX-1030"/>
        <s v="TRX-1031"/>
        <s v="TRX-1032"/>
        <s v="TRX-1033"/>
        <s v="TRX-1034"/>
        <s v="TRX-1035"/>
        <s v="TRX-1036"/>
        <s v="TRX-1037"/>
        <s v="TRX-1038"/>
        <s v="TRX-1039"/>
        <s v="TRX-1040"/>
        <s v="TRX-1041"/>
        <s v="TRX-1042"/>
        <s v="TRX-1043"/>
        <s v="TRX-1044"/>
        <s v="TRX-1045"/>
        <s v="TRX-1046"/>
        <s v="TRX-1047"/>
        <s v="TRX-1048"/>
        <s v="TRX-1049"/>
        <s v="TRX-1050"/>
        <s v="TRX-1051"/>
        <s v="TRX-1052"/>
        <s v="TRX-1053"/>
        <s v="TRX-1054"/>
        <s v="TRX-1055"/>
        <s v="TRX-1056"/>
        <s v="TRX-1057"/>
        <s v="TRX-1058"/>
        <s v="TRX-1059"/>
        <s v="TRX-1060"/>
        <s v="TRX-1061"/>
        <s v="TRX-1062"/>
        <s v="TRX-1063"/>
        <s v="TRX-1064"/>
        <s v="TRX-1065"/>
        <s v="TRX-1066"/>
        <s v="TRX-1067"/>
        <s v="TRX-1068"/>
        <s v="TRX-1069"/>
        <s v="TRX-1070"/>
        <s v="TRX-1071"/>
        <s v="TRX-1072"/>
        <s v="TRX-1073"/>
        <s v="TRX-1074"/>
        <s v="TRX-1075"/>
        <s v="TRX-1076"/>
        <s v="TRX-1077"/>
        <s v="TRX-1078"/>
        <s v="TRX-1079"/>
        <s v="TRX-1080"/>
        <s v="TRX-1081"/>
        <s v="TRX-1082"/>
        <s v="TRX-1083"/>
        <s v="TRX-1084"/>
        <s v="TRX-1085"/>
        <s v="TRX-1086"/>
        <s v="TRX-1087"/>
        <s v="TRX-1088"/>
        <s v="TRX-1089"/>
        <s v="TRX-1090"/>
        <s v="TRX-1091"/>
        <s v="TRX-1092"/>
        <s v="TRX-1093"/>
        <s v="TRX-1094"/>
        <s v="TRX-1095"/>
        <s v="TRX-1096"/>
        <s v="TRX-1097"/>
        <s v="TRX-1098"/>
        <s v="TRX-1099"/>
        <s v="TRX-1100"/>
        <s v="TRX-1101"/>
        <s v="TRX-1102"/>
        <s v="TRX-1103"/>
        <s v="TRX-1104"/>
        <s v="TRX-1105"/>
        <s v="TRX-1106"/>
        <s v="TRX-1107"/>
        <s v="TRX-1108"/>
        <s v="TRX-1109"/>
        <s v="TRX-1110"/>
        <s v="TRX-1111"/>
        <s v="TRX-1112"/>
        <s v="TRX-1113"/>
        <s v="TRX-1114"/>
        <s v="TRX-1115"/>
        <s v="TRX-1116"/>
        <s v="TRX-1117"/>
        <s v="TRX-1118"/>
        <s v="TRX-1119"/>
        <s v="TRX-1120"/>
        <s v="TRX-1121"/>
        <s v="TRX-1122"/>
        <s v="TRX-1123"/>
        <s v="TRX-1124"/>
        <s v="TRX-1125"/>
        <s v="TRX-1126"/>
        <s v="TRX-1127"/>
        <s v="TRX-1128"/>
        <s v="TRX-1129"/>
        <s v="TRX-1130"/>
        <s v="TRX-1131"/>
        <s v="TRX-1132"/>
        <s v="TRX-1133"/>
        <s v="TRX-1134"/>
        <s v="TRX-1135"/>
        <s v="TRX-1136"/>
        <s v="TRX-1137"/>
        <s v="TRX-1138"/>
        <s v="TRX-1139"/>
        <s v="TRX-1140"/>
        <s v="TRX-1141"/>
        <s v="TRX-1142"/>
        <s v="TRX-1143"/>
        <s v="TRX-1144"/>
        <s v="TRX-1145"/>
        <s v="TRX-1146"/>
        <s v="TRX-1147"/>
        <s v="TRX-1148"/>
        <s v="TRX-1149"/>
        <s v="TRX-1150"/>
        <s v="TRX-1151"/>
        <s v="TRX-1152"/>
        <s v="TRX-1153"/>
        <s v="TRX-1154"/>
        <s v="TRX-1155"/>
        <s v="TRX-1156"/>
        <s v="TRX-1157"/>
        <s v="TRX-1158"/>
        <s v="TRX-1159"/>
        <s v="TRX-1160"/>
        <s v="TRX-1161"/>
        <s v="TRX-1162"/>
        <s v="TRX-1163"/>
        <s v="TRX-1164"/>
        <s v="TRX-1165"/>
        <s v="TRX-1167"/>
        <s v="TRX-1168"/>
        <s v="TRX-1169"/>
        <s v="TRX-1170"/>
        <s v="TRX-1171"/>
        <s v="TRX-1172"/>
        <s v="TRX-1173"/>
        <s v="TRX-1174"/>
        <s v="TRX-1175"/>
        <s v="TRX-1176"/>
        <s v="TRX-1177"/>
        <s v="TRX-1178"/>
        <s v="TRX-1179"/>
        <s v="TRX-1180"/>
        <s v="TRX-1181"/>
        <s v="TRX-1182"/>
        <s v="TRX-1183"/>
        <s v="TRX-1184"/>
        <s v="TRX-1185"/>
        <s v="TRX-1186"/>
        <s v="TRX-1187"/>
        <s v="TRX-1189"/>
        <s v="TRX-1190"/>
        <s v="TRX-1191"/>
        <s v="TRX-1192"/>
        <s v="TRX-1193"/>
        <s v="TRX-1194"/>
        <s v="TRX-1195"/>
        <s v="TRX-1196"/>
        <s v="TRX-1197"/>
        <s v="TRX-1198"/>
        <s v="TRX-1199"/>
        <s v="TRX-1200"/>
        <s v="TRX-1201"/>
        <s v="TRX-1202"/>
        <s v="TRX-1203"/>
        <s v="TRX-1204"/>
        <s v="TRX-1205"/>
        <s v="TRX-1206"/>
        <s v="TRX-1207"/>
        <s v="TRX-1208"/>
        <s v="TRX-1209"/>
        <s v="TRX-1210"/>
        <s v="TRX-1211"/>
        <s v="TRX-1212"/>
        <s v="TRX-1213"/>
        <s v="TRX-1214"/>
        <s v="TRX-1215"/>
        <s v="TRX-1216"/>
        <s v="TRX-1217"/>
        <s v="TRX-1218"/>
        <s v="TRX-1219"/>
        <s v="TRX-1220"/>
        <s v="TRX-1221"/>
        <s v="TRX-1222"/>
        <s v="TRX-1223"/>
        <s v="TRX-1224"/>
        <s v="TRX-1225"/>
        <s v="TRX-1226"/>
        <s v="TRX-1227"/>
        <s v="TRX-1228"/>
        <s v="TRX-1229"/>
        <s v="TRX-1230"/>
        <s v="TRX-1231"/>
        <s v="TRX-1232"/>
        <s v="TRX-1233"/>
        <s v="TRX-1234"/>
        <s v="TRX-1235"/>
        <s v="TRX-1236"/>
        <s v="TRX-1237"/>
        <s v="TRX-1238"/>
        <s v="TRX-1239"/>
        <s v="TRX-1240"/>
        <s v="TRX-1241"/>
        <s v="TRX-1242"/>
        <s v="TRX-1243"/>
        <s v="TRX-1244"/>
        <s v="TRX-1245"/>
        <s v="TRX-1246"/>
        <s v="TRX-1247"/>
        <s v="TRX-1248"/>
        <s v="TRX-1249"/>
        <s v="TRX-1250"/>
        <s v="TRX-1251"/>
        <s v="TRX-1252"/>
        <s v="TRX-1253"/>
        <s v="TRX-1254"/>
        <s v="TRX-1255"/>
        <s v="TRX-1256"/>
        <s v="TRX-1257"/>
        <s v="TRX-1258"/>
        <s v="TRX-1259"/>
        <s v="TRX-1260"/>
        <s v="TRX-1261"/>
        <s v="TRX-1262"/>
        <s v="TRX-1263"/>
        <s v="TRX-1264"/>
        <s v="TRX-1265"/>
        <s v="TRX-1266"/>
        <s v="TRX-1267"/>
        <s v="TRX-1269"/>
        <s v="TRX-1270"/>
        <s v="TRX-1271"/>
        <s v="TRX-1272"/>
        <s v="TRX-1273"/>
        <s v="TRX-1274"/>
        <s v="TRX-1275"/>
        <s v="TRX-1276"/>
        <s v="TRX-1277"/>
        <s v="TRX-1278"/>
        <s v="TRX-1279"/>
        <s v="TRX-1280"/>
        <s v="TRX-1281"/>
        <s v="TRX-1282"/>
        <s v="TRX-1283"/>
        <s v="TRX-1284"/>
        <s v="TRX-1285"/>
        <s v="TRX-1286"/>
        <s v="TRX-1287"/>
        <s v="TRX-1288"/>
        <s v="TRX-1289"/>
        <s v="TRX-1290"/>
        <s v="TRX-1291"/>
        <s v="TRX-1292"/>
        <s v="TRX-1293"/>
        <s v="TRX-1294"/>
        <s v="TRX-1295"/>
        <s v="TRX-1296"/>
        <s v="TRX-1297"/>
        <s v="TRX-1298"/>
        <s v="TRX-1299"/>
        <s v="TRX-1300"/>
        <s v="TRX-1301"/>
        <s v="TRX-1302"/>
        <s v="TRX-1303"/>
        <s v="TRX-1304"/>
        <s v="TRX-1305"/>
        <s v="TRX-1306"/>
        <s v="TRX-1307"/>
        <s v="TRX-1308"/>
        <s v="TRX-1309"/>
        <s v="TRX-1310"/>
        <s v="TRX-1311"/>
        <s v="TRX-1312"/>
        <s v="TRX-1313"/>
        <s v="TRX-1314"/>
        <s v="TRX-1315"/>
        <s v="TRX-1316"/>
        <s v="TRX-1317"/>
        <s v="TRX-1318"/>
        <s v="TRX-1319"/>
        <s v="TRX-1320"/>
        <s v="TRX-1321"/>
        <s v="TRX-1322"/>
        <s v="TRX-1323"/>
        <s v="TRX-1324"/>
        <s v="TRX-1325"/>
        <s v="TRX-1326"/>
        <s v="TRX-1327"/>
        <s v="TRX-1328"/>
        <s v="TRX-1329"/>
        <s v="TRX-1330"/>
        <s v="TRX-1331"/>
        <s v="TRX-1332"/>
        <s v="TRX-1333"/>
        <s v="TRX-1334"/>
        <s v="TRX-1335"/>
        <s v="TRX-1336"/>
        <s v="TRX-1337"/>
        <s v="TRX-1338"/>
        <s v="TRX-1339"/>
        <s v="TRX-1340"/>
        <s v="TRX-1341"/>
        <s v="TRX-1342"/>
        <s v="TRX-1343"/>
        <s v="TRX-1344"/>
        <s v="TRX-1345"/>
        <s v="TRX-1346"/>
        <s v="TRX-1347"/>
        <s v="TRX-1348"/>
        <s v="TRX-1349"/>
        <s v="TRX-1350"/>
        <s v="TRX-1351"/>
        <s v="TRX-1352"/>
        <s v="TRX-1353"/>
        <s v="TRX-1354"/>
        <s v="TRX-1355"/>
        <s v="TRX-1356"/>
        <s v="TRX-1357"/>
        <s v="TRX-1358"/>
        <s v="TRX-1359"/>
        <s v="TRX-1360"/>
        <s v="TRX-1361"/>
        <s v="TRX-1362"/>
        <s v="TRX-1363"/>
        <s v="TRX-1364"/>
        <s v="TRX-1365"/>
        <s v="TRX-1366"/>
        <s v="TRX-1367"/>
        <s v="TRX-1368"/>
        <s v="TRX-1369"/>
        <s v="TRX-1370"/>
        <s v="TRX-1371"/>
        <s v="TRX-1372"/>
        <s v="TRX-1373"/>
        <s v="TRX-1374"/>
        <s v="TRX-1375"/>
        <s v="TRX-1376"/>
        <s v="TRX-1377"/>
        <s v="TRX-1378"/>
        <s v="TRX-1379"/>
        <s v="TRX-1380"/>
        <s v="TRX-1381"/>
        <s v="TRX-1382"/>
        <s v="TRX-1383"/>
        <s v="TRX-1384"/>
        <s v="TRX-1385"/>
        <s v="TRX-1386"/>
        <s v="TRX-1387"/>
        <s v="TRX-1388"/>
        <s v="TRX-1389"/>
        <s v="TRX-1390"/>
        <s v="TRX-1391"/>
        <s v="TRX-1392"/>
        <s v="TRX-1393"/>
        <s v="TRX-1394"/>
        <s v="TRX-1395"/>
        <s v="TRX-1397"/>
        <s v="TRX-1398"/>
        <s v="TRX-1399"/>
        <s v="TRX-1400"/>
        <s v="TRX-1401"/>
        <s v="TRX-1402"/>
        <s v="TRX-1403"/>
        <s v="TRX-1404"/>
        <s v="TRX-1405"/>
        <s v="TRX-1406"/>
        <s v="TRX-1407"/>
        <s v="TRX-1408"/>
        <s v="TRX-1409"/>
        <s v="TRX-1410"/>
        <s v="TRX-1411"/>
        <s v="TRX-1412"/>
        <s v="TRX-1413"/>
        <s v="TRX-1414"/>
        <s v="TRX-1415"/>
        <s v="TRX-1416"/>
        <s v="TRX-1417"/>
        <s v="TRX-1418"/>
        <s v="TRX-1419"/>
        <s v="TRX-1420"/>
        <s v="TRX-1421"/>
        <s v="TRX-1422"/>
        <s v="TRX-1423"/>
        <s v="TRX-1424"/>
        <s v="TRX-1425"/>
        <s v="TRX-1426"/>
        <s v="TRX-1427"/>
        <s v="TRX-1428"/>
        <s v="TRX-1429"/>
        <s v="TRX-1430"/>
        <s v="TRX-1431"/>
        <s v="TRX-1432"/>
        <s v="TRX-1433"/>
        <s v="TRX-1434"/>
        <s v="TRX-1435"/>
        <s v="TRX-1436"/>
        <s v="TRX-1437"/>
        <s v="TRX-1438"/>
        <s v="TRX-1439"/>
        <s v="TRX-1440"/>
        <s v="TRX-1441"/>
        <s v="TRX-1442"/>
        <s v="TRX-1443"/>
        <s v="TRX-1444"/>
        <s v="TRX-1445"/>
        <s v="TRX-1446"/>
        <s v="TRX-1447"/>
        <s v="TRX-1448"/>
        <s v="TRX-1449"/>
        <s v="TRX-1450"/>
        <s v="TRX-1451"/>
        <s v="TRX-1452"/>
        <s v="TRX-1453"/>
        <s v="TRX-1454"/>
        <s v="TRX-1455"/>
        <s v="TRX-1456"/>
        <s v="TRX-1458"/>
        <s v="TRX-1459"/>
        <s v="TRX-1460"/>
        <s v="TRX-1461"/>
        <s v="TRX-1462"/>
        <s v="TRX-1463"/>
        <s v="TRX-1464"/>
        <s v="TRX-1465"/>
        <s v="TRX-1466"/>
        <s v="TRX-1467"/>
        <s v="TRX-1468"/>
        <s v="TRX-1469"/>
        <s v="TRX-1470"/>
        <s v="TRX-1471"/>
        <s v="TRX-1472"/>
        <s v="TRX-1473"/>
        <s v="TRX-1474"/>
        <s v="TRX-1475"/>
        <s v="TRX-1476"/>
        <s v="TRX-1477"/>
        <s v="TRX-1478"/>
        <s v="TRX-1479"/>
        <s v="TRX-1480"/>
        <s v="TRX-1481"/>
        <s v="TRX-1482"/>
        <s v="TRX-1483"/>
        <s v="TRX-1484"/>
        <s v="TRX-1485"/>
        <s v="TRX-1486"/>
        <s v="TRX-1487"/>
        <s v="TRX-1488"/>
        <s v="TRX-1489"/>
        <s v="TRX-1490"/>
        <s v="TRX-1491"/>
        <s v="TRX-1492"/>
        <s v="TRX-1493"/>
        <s v="TRX-1494"/>
        <s v="TRX-1495"/>
        <s v="TRX-1496"/>
        <s v="TRX-1497"/>
        <s v="TRX-1498"/>
        <s v="TRX-1499"/>
        <s v="TRX-1500"/>
        <s v="TRX-1501"/>
        <s v="TRX-1502"/>
        <s v="TRX-1503"/>
        <s v="TRX-1505"/>
        <s v="TRX-1506"/>
        <s v="TRX-1507"/>
        <s v="TRX-1508"/>
        <s v="TRX-1509"/>
        <s v="TRX-1510"/>
        <s v="TRX-1511"/>
        <s v="TRX-1512"/>
        <s v="TRX-1513"/>
        <s v="TRX-1514"/>
        <s v="TRX-1515"/>
        <s v="TRX-1516"/>
        <s v="TRX-1517"/>
        <s v="TRX-1518"/>
        <s v="TRX-1519"/>
        <s v="TRX-1520"/>
        <s v="TRX-1522"/>
        <s v="TRX-1523"/>
        <s v="TRX-1524"/>
        <s v="TRX-1525"/>
        <s v="TRX-1526"/>
        <s v="TRX-1527"/>
        <s v="TRX-1528"/>
        <s v="TRX-1529"/>
        <s v="TRX-1530"/>
        <s v="TRX-1531"/>
        <s v="TRX-1532"/>
        <s v="TRX-1533"/>
        <s v="TRX-1534"/>
        <s v="TRX-1535"/>
        <s v="TRX-1536"/>
        <s v="TRX-1537"/>
        <s v="TRX-1538"/>
        <s v="TRX-1539"/>
        <s v="TRX-1540"/>
        <s v="TRX-1541"/>
        <s v="TRX-1542"/>
        <s v="TRX-1543"/>
        <s v="TRX-1544"/>
        <s v="TRX-1545"/>
        <s v="TRX-1546"/>
        <s v="TRX-1547"/>
        <s v="TRX-1548"/>
        <s v="TRX-1549"/>
        <s v="TRX-1551"/>
        <s v="TRX-1552"/>
        <s v="TRX-1553"/>
        <s v="TRX-1554"/>
        <s v="TRX-1555"/>
        <s v="TRX-1556"/>
        <s v="TRX-1557"/>
        <s v="TRX-1558"/>
        <s v="TRX-1559"/>
        <s v="TRX-1560"/>
        <s v="TRX-1561"/>
        <s v="TRX-1562"/>
        <s v="TRX-1563"/>
        <s v="TRX-1564"/>
        <s v="TRX-1565"/>
        <s v="TRX-1566"/>
        <s v="TRX-1567"/>
        <s v="TRX-1568"/>
        <s v="TRX-1569"/>
        <s v="TRX-1570"/>
        <s v="TRX-1571"/>
        <s v="TRX-1572"/>
        <s v="TRX-1573"/>
        <s v="TRX-1574"/>
        <s v="TRX-1575"/>
        <s v="TRX-1576"/>
        <s v="TRX-1577"/>
        <s v="TRX-1578"/>
        <s v="TRX-1579"/>
        <s v="TRX-1580"/>
        <s v="TRX-1581"/>
        <s v="TRX-1582"/>
        <s v="TRX-1583"/>
        <s v="TRX-1584"/>
        <s v="TRX-1585"/>
        <s v="TRX-1586"/>
        <s v="TRX-1587"/>
        <s v="TRX-1588"/>
        <s v="TRX-1589"/>
        <s v="TRX-1590"/>
        <s v="TRX-1591"/>
        <s v="TRX-1592"/>
        <s v="TRX-1593"/>
        <s v="TRX-1594"/>
        <s v="TRX-1595"/>
        <s v="TRX-1596"/>
        <s v="TRX-1597"/>
        <s v="TRX-1598"/>
        <s v="TRX-1599"/>
        <s v="TRX-1600"/>
        <s v="TRX-1601"/>
        <s v="TRX-1602"/>
        <s v="TRX-1603"/>
        <s v="TRX-1604"/>
        <s v="TRX-1605"/>
        <s v="TRX-1606"/>
        <s v="TRX-1607"/>
        <s v="TRX-1608"/>
        <s v="TRX-1609"/>
        <s v="TRX-1610"/>
        <s v="TRX-1611"/>
        <s v="TRX-1612"/>
        <s v="TRX-1613"/>
        <s v="TRX-1614"/>
        <s v="TRX-1615"/>
        <s v="TRX-1616"/>
        <s v="TRX-1617"/>
        <s v="TRX-1618"/>
        <s v="TRX-1619"/>
        <s v="TRX-1620"/>
        <s v="TRX-1621"/>
        <s v="TRX-1622"/>
        <s v="TRX-1623"/>
        <s v="TRX-1624"/>
        <s v="TRX-1625"/>
        <s v="TRX-1626"/>
        <s v="TRX-1627"/>
        <s v="TRX-1628"/>
        <s v="TRX-1629"/>
        <s v="TRX-1630"/>
        <s v="TRX-1631"/>
        <s v="TRX-1632"/>
        <s v="TRX-1633"/>
        <s v="TRX-1634"/>
        <s v="TRX-1635"/>
        <s v="TRX-1636"/>
        <s v="TRX-1637"/>
        <s v="TRX-1638"/>
        <s v="TRX-1639"/>
        <s v="TRX-1640"/>
        <s v="TRX-1641"/>
        <s v="TRX-1642"/>
        <s v="TRX-1643"/>
        <s v="TRX-1644"/>
        <s v="TRX-1645"/>
        <s v="TRX-1646"/>
        <s v="TRX-1647"/>
        <s v="TRX-1648"/>
        <s v="TRX-1649"/>
        <s v="TRX-1650"/>
        <s v="TRX-1651"/>
        <s v="TRX-1652"/>
        <s v="TRX-1653"/>
        <s v="TRX-1654"/>
        <s v="TRX-1655"/>
        <s v="TRX-1656"/>
        <s v="TRX-1657"/>
        <s v="TRX-1658"/>
        <s v="TRX-1659"/>
        <s v="TRX-1660"/>
        <s v="TRX-1661"/>
        <s v="TRX-1662"/>
        <s v="TRX-1663"/>
        <s v="TRX-1664"/>
        <s v="TRX-1665"/>
        <s v="TRX-1666"/>
        <s v="TRX-1667"/>
        <s v="TRX-1668"/>
        <s v="TRX-1669"/>
        <s v="TRX-1670"/>
        <s v="TRX-1671"/>
        <s v="TRX-1672"/>
        <s v="TRX-1673"/>
        <s v="TRX-1674"/>
        <s v="TRX-1675"/>
        <s v="TRX-1676"/>
        <s v="TRX-1677"/>
        <s v="TRX-1678"/>
        <s v="TRX-1679"/>
        <s v="TRX-1680"/>
        <s v="TRX-1681"/>
        <s v="TRX-1682"/>
        <s v="TRX-1683"/>
        <s v="TRX-1684"/>
        <s v="TRX-1685"/>
        <s v="TRX-1686"/>
        <s v="TRX-1687"/>
        <s v="TRX-1688"/>
        <s v="TRX-1689"/>
        <s v="TRX-1690"/>
        <s v="TRX-1691"/>
        <s v="TRX-1692"/>
        <s v="TRX-1693"/>
        <s v="TRX-1694"/>
        <s v="TRX-1695"/>
        <s v="TRX-1696"/>
        <s v="TRX-1697"/>
        <s v="TRX-1698"/>
        <s v="TRX-1699"/>
        <s v="TRX-1700"/>
        <s v="TRX-1701"/>
        <s v="TRX-1702"/>
        <s v="TRX-1703"/>
        <s v="TRX-1704"/>
        <s v="TRX-1705"/>
        <s v="TRX-1706"/>
        <s v="TRX-1707"/>
        <s v="TRX-1708"/>
        <s v="TRX-1709"/>
        <s v="TRX-1710"/>
        <s v="TRX-1711"/>
        <s v="TRX-1712"/>
        <s v="TRX-1713"/>
        <s v="TRX-1714"/>
        <s v="TRX-1715"/>
        <s v="TRX-1716"/>
        <s v="TRX-1717"/>
        <s v="TRX-1718"/>
        <s v="TRX-1719"/>
        <s v="TRX-1720"/>
        <s v="TRX-1721"/>
        <s v="TRX-1722"/>
        <s v="TRX-1723"/>
        <s v="TRX-1724"/>
        <s v="TRX-1725"/>
        <s v="TRX-1726"/>
        <s v="TRX-1727"/>
        <s v="TRX-1728"/>
        <s v="TRX-1729"/>
        <s v="TRX-1730"/>
        <s v="TRX-1731"/>
        <s v="TRX-1732"/>
        <s v="TRX-1733"/>
        <s v="TRX-1734"/>
        <s v="TRX-1735"/>
        <s v="TRX-1736"/>
        <s v="TRX-1737"/>
        <s v="TRX-1738"/>
        <s v="TRX-1739"/>
        <s v="TRX-1740"/>
        <s v="TRX-1741"/>
        <s v="TRX-1742"/>
        <s v="TRX-1743"/>
        <s v="TRX-1744"/>
        <s v="TRX-1745"/>
        <s v="TRX-1746"/>
        <s v="TRX-1747"/>
        <s v="TRX-1748"/>
        <s v="TRX-1749"/>
        <s v="TRX-1750"/>
        <s v="TRX-1751"/>
        <s v="TRX-1752"/>
        <s v="TRX-1753"/>
        <s v="TRX-1754"/>
        <s v="TRX-1755"/>
        <s v="TRX-1756"/>
        <s v="TRX-1757"/>
        <s v="TRX-1758"/>
        <s v="TRX-1759"/>
        <s v="TRX-1760"/>
        <s v="TRX-1761"/>
        <s v="TRX-1762"/>
        <s v="TRX-1763"/>
        <s v="TRX-1764"/>
        <s v="TRX-1765"/>
        <s v="TRX-1766"/>
        <s v="TRX-1767"/>
        <s v="TRX-1768"/>
        <s v="TRX-1769"/>
        <s v="TRX-1770"/>
        <s v="TRX-1772"/>
        <s v="TRX-1773"/>
        <s v="TRX-1774"/>
        <s v="TRX-1775"/>
        <s v="TRX-1776"/>
        <s v="TRX-1777"/>
        <s v="TRX-1778"/>
        <s v="TRX-1779"/>
        <s v="TRX-1780"/>
        <s v="TRX-1781"/>
        <s v="TRX-1782"/>
        <s v="TRX-1783"/>
        <s v="TRX-1784"/>
        <s v="TRX-1785"/>
        <s v="TRX-1786"/>
        <s v="TRX-1787"/>
        <s v="TRX-1788"/>
        <s v="TRX-1790"/>
        <s v="TRX-1791"/>
        <s v="TRX-1792"/>
        <s v="TRX-1793"/>
        <s v="TRX-1794"/>
        <s v="TRX-1795"/>
        <s v="TRX-1796"/>
        <s v="TRX-1798"/>
        <s v="TRX-1799"/>
        <s v="TRX-1800"/>
        <s v="TRX-1801"/>
        <s v="TRX-1802"/>
        <s v="TRX-1803"/>
        <s v="TRX-1804"/>
        <s v="TRX-1805"/>
        <s v="TRX-1806"/>
        <s v="TRX-1807"/>
        <s v="TRX-1808"/>
        <s v="TRX-1809"/>
        <s v="TRX-1810"/>
        <s v="TRX-1811"/>
        <s v="TRX-1812"/>
        <s v="TRX-1813"/>
        <s v="TRX-1814"/>
        <s v="TRX-1815"/>
        <s v="TRX-1816"/>
        <s v="TRX-1818"/>
        <s v="TRX-1819"/>
        <s v="TRX-1820"/>
        <s v="TRX-1821"/>
        <s v="TRX-1822"/>
        <s v="TRX-1823"/>
        <s v="TRX-1824"/>
        <s v="TRX-1825"/>
        <s v="TRX-1826"/>
        <s v="TRX-1827"/>
        <s v="TRX-1828"/>
        <s v="TRX-1829"/>
        <s v="TRX-1830"/>
        <s v="TRX-1831"/>
        <s v="TRX-1832"/>
        <s v="TRX-1833"/>
        <s v="TRX-1834"/>
        <s v="TRX-1835"/>
        <s v="TRX-1836"/>
        <s v="TRX-1837"/>
        <s v="TRX-1838"/>
        <s v="TRX-1839"/>
        <s v="TRX-1840"/>
        <s v="TRX-1841"/>
        <s v="TRX-1842"/>
        <s v="TRX-1843"/>
        <s v="TRX-1844"/>
        <s v="TRX-1845"/>
        <s v="TRX-1846"/>
        <s v="TRX-1847"/>
        <s v="TRX-1848"/>
        <s v="TRX-1849"/>
        <s v="TRX-1850"/>
        <s v="TRX-1851"/>
        <s v="TRX-1852"/>
        <s v="TRX-1853"/>
        <s v="TRX-1854"/>
        <s v="TRX-1855"/>
        <s v="TRX-1856"/>
        <s v="TRX-1857"/>
        <s v="TRX-1858"/>
        <s v="TRX-1859"/>
        <s v="TRX-1860"/>
        <s v="TRX-1861"/>
        <s v="TRX-1862"/>
        <s v="TRX-1863"/>
        <s v="TRX-1864"/>
        <s v="TRX-1865"/>
        <s v="TRX-1866"/>
        <s v="TRX-1867"/>
        <s v="TRX-1868"/>
        <s v="TRX-1869"/>
        <s v="TRX-1870"/>
        <s v="TRX-1871"/>
        <s v="TRX-1872"/>
        <s v="TRX-1873"/>
        <s v="TRX-1874"/>
        <s v="TRX-1875"/>
        <s v="TRX-1876"/>
        <s v="TRX-1877"/>
        <s v="TRX-1878"/>
        <s v="TRX-1879"/>
        <s v="TRX-1880"/>
        <s v="TRX-1881"/>
        <s v="TRX-1882"/>
        <s v="TRX-1883"/>
        <s v="TRX-1884"/>
        <s v="TRX-1885"/>
        <s v="TRX-1886"/>
        <s v="TRX-1887"/>
        <s v="TRX-1888"/>
        <s v="TRX-1889"/>
        <s v="TRX-1890"/>
        <s v="TRX-1891"/>
        <s v="TRX-1892"/>
        <s v="TRX-1893"/>
        <s v="TRX-1894"/>
        <s v="TRX-1895"/>
        <s v="TRX-1896"/>
        <s v="TRX-1897"/>
        <s v="TRX-1898"/>
        <s v="TRX-1899"/>
        <s v="TRX-1900"/>
        <s v="TRX-1901"/>
        <s v="TRX-1902"/>
        <s v="TRX-1903"/>
        <s v="TRX-1904"/>
        <s v="TRX-1905"/>
        <s v="TRX-1906"/>
        <s v="TRX-1907"/>
        <s v="TRX-1908"/>
        <s v="TRX-1909"/>
        <s v="TRX-1910"/>
        <s v="TRX-1911"/>
        <s v="TRX-1912"/>
        <s v="TRX-1913"/>
        <s v="TRX-1914"/>
        <s v="TRX-1915"/>
        <s v="TRX-1916"/>
        <s v="TRX-1917"/>
        <s v="TRX-1918"/>
        <s v="TRX-1919"/>
        <s v="TRX-1920"/>
        <s v="TRX-1921"/>
        <s v="TRX-1922"/>
        <s v="TRX-1923"/>
        <s v="TRX-1924"/>
        <s v="TRX-1925"/>
        <s v="TRX-1926"/>
        <s v="TRX-1927"/>
        <s v="TRX-1928"/>
        <s v="TRX-1929"/>
        <s v="TRX-1930"/>
        <s v="TRX-1931"/>
        <s v="TRX-1932"/>
        <s v="TRX-1933"/>
        <s v="TRX-1934"/>
        <s v="TRX-1935"/>
        <s v="TRX-1936"/>
        <s v="TRX-1937"/>
        <s v="TRX-1938"/>
        <s v="TRX-1939"/>
        <s v="TRX-1940"/>
        <s v="TRX-1941"/>
        <s v="TRX-1942"/>
        <s v="TRX-1943"/>
        <s v="TRX-1944"/>
        <s v="TRX-1945"/>
        <s v="TRX-1946"/>
        <s v="TRX-1947"/>
        <s v="TRX-1948"/>
        <s v="TRX-1949"/>
        <s v="TRX-1950"/>
        <s v="TRX-1951"/>
        <s v="TRX-1952"/>
        <s v="TRX-1953"/>
        <s v="TRX-1954"/>
        <s v="TRX-1955"/>
        <s v="TRX-1956"/>
        <s v="TRX-1957"/>
        <s v="TRX-1958"/>
        <s v="TRX-1959"/>
        <s v="TRX-1960"/>
        <s v="TRX-1961"/>
        <s v="TRX-1962"/>
        <s v="TRX-1963"/>
        <s v="TRX-1964"/>
        <s v="TRX-1966"/>
        <s v="TRX-1967"/>
        <s v="TRX-1968"/>
        <s v="TRX-1969"/>
        <s v="TRX-1970"/>
        <s v="TRX-1971"/>
        <s v="TRX-1973"/>
        <s v="TRX-1974"/>
        <s v="TRX-1975"/>
        <s v="TRX-1976"/>
        <s v="TRX-1977"/>
        <s v="TRX-1978"/>
        <s v="TRX-1979"/>
        <s v="TRX-1980"/>
        <s v="TRX-1981"/>
        <s v="TRX-1982"/>
        <s v="TRX-1983"/>
        <s v="TRX-1984"/>
        <s v="TRX-1985"/>
        <s v="TRX-1986"/>
        <s v="TRX-1987"/>
        <s v="TRX-1988"/>
        <s v="TRX-1989"/>
        <s v="TRX-1990"/>
        <s v="TRX-1991"/>
        <s v="TRX-1992"/>
        <s v="TRX-1993"/>
        <s v="TRX-1994"/>
        <s v="TRX-1995"/>
        <s v="TRX-1996"/>
        <s v="TRX-1997"/>
        <s v="TRX-1998"/>
        <s v="TRX-1999"/>
      </sharedItems>
    </cacheField>
    <cacheField name="Date" numFmtId="14">
      <sharedItems containsSemiMixedTypes="0" containsNonDate="0" containsDate="1" containsString="0" minDate="2023-01-01T00:00:00" maxDate="2024-01-02T00:00:00" count="340">
        <d v="2023-11-24T00:00:00"/>
        <d v="2023-01-16T00:00:00"/>
        <d v="2023-01-04T00:00:00"/>
        <d v="2023-11-06T00:00:00"/>
        <d v="2023-12-27T00:00:00"/>
        <d v="2023-07-01T00:00:00"/>
        <d v="2023-06-11T00:00:00"/>
        <d v="2023-10-26T00:00:00"/>
        <d v="2023-07-17T00:00:00"/>
        <d v="2023-06-24T00:00:00"/>
        <d v="2023-02-27T00:00:00"/>
        <d v="2023-03-07T00:00:00"/>
        <d v="2023-07-09T00:00:00"/>
        <d v="2023-11-20T00:00:00"/>
        <d v="2023-10-20T00:00:00"/>
        <d v="2023-12-11T00:00:00"/>
        <d v="2023-12-03T00:00:00"/>
        <d v="2023-03-10T00:00:00"/>
        <d v="2023-09-08T00:00:00"/>
        <d v="2023-07-06T00:00:00"/>
        <d v="2023-05-02T00:00:00"/>
        <d v="2023-02-25T00:00:00"/>
        <d v="2023-05-14T00:00:00"/>
        <d v="2023-10-23T00:00:00"/>
        <d v="2023-04-09T00:00:00"/>
        <d v="2023-10-24T00:00:00"/>
        <d v="2023-02-13T00:00:00"/>
        <d v="2023-09-01T00:00:00"/>
        <d v="2023-02-24T00:00:00"/>
        <d v="2023-10-14T00:00:00"/>
        <d v="2023-11-23T00:00:00"/>
        <d v="2023-03-12T00:00:00"/>
        <d v="2023-07-19T00:00:00"/>
        <d v="2023-10-03T00:00:00"/>
        <d v="2023-08-28T00:00:00"/>
        <d v="2023-10-04T00:00:00"/>
        <d v="2023-12-09T00:00:00"/>
        <d v="2023-06-09T00:00:00"/>
        <d v="2023-12-17T00:00:00"/>
        <d v="2023-09-05T00:00:00"/>
        <d v="2023-11-09T00:00:00"/>
        <d v="2023-05-22T00:00:00"/>
        <d v="2023-01-09T00:00:00"/>
        <d v="2023-06-19T00:00:00"/>
        <d v="2023-04-05T00:00:00"/>
        <d v="2023-06-04T00:00:00"/>
        <d v="2023-09-09T00:00:00"/>
        <d v="2023-08-02T00:00:00"/>
        <d v="2023-08-19T00:00:00"/>
        <d v="2023-06-07T00:00:00"/>
        <d v="2023-08-13T00:00:00"/>
        <d v="2023-01-11T00:00:00"/>
        <d v="2023-02-16T00:00:00"/>
        <d v="2023-10-09T00:00:00"/>
        <d v="2023-10-05T00:00:00"/>
        <d v="2023-08-25T00:00:00"/>
        <d v="2023-03-16T00:00:00"/>
        <d v="2023-01-02T00:00:00"/>
        <d v="2023-06-14T00:00:00"/>
        <d v="2023-12-06T00:00:00"/>
        <d v="2023-03-21T00:00:00"/>
        <d v="2023-06-12T00:00:00"/>
        <d v="2023-11-21T00:00:00"/>
        <d v="2023-07-30T00:00:00"/>
        <d v="2023-04-29T00:00:00"/>
        <d v="2023-10-28T00:00:00"/>
        <d v="2023-10-22T00:00:00"/>
        <d v="2023-09-12T00:00:00"/>
        <d v="2023-02-19T00:00:00"/>
        <d v="2023-03-09T00:00:00"/>
        <d v="2023-02-28T00:00:00"/>
        <d v="2023-08-26T00:00:00"/>
        <d v="2023-08-21T00:00:00"/>
        <d v="2023-05-24T00:00:00"/>
        <d v="2023-07-03T00:00:00"/>
        <d v="2023-05-05T00:00:00"/>
        <d v="2023-09-15T00:00:00"/>
        <d v="2023-09-29T00:00:00"/>
        <d v="2023-08-20T00:00:00"/>
        <d v="2023-08-31T00:00:00"/>
        <d v="2023-10-15T00:00:00"/>
        <d v="2023-11-15T00:00:00"/>
        <d v="2023-06-23T00:00:00"/>
        <d v="2023-05-20T00:00:00"/>
        <d v="2023-10-31T00:00:00"/>
        <d v="2023-05-11T00:00:00"/>
        <d v="2023-02-08T00:00:00"/>
        <d v="2023-02-04T00:00:00"/>
        <d v="2023-05-27T00:00:00"/>
        <d v="2023-11-30T00:00:00"/>
        <d v="2023-03-30T00:00:00"/>
        <d v="2023-12-14T00:00:00"/>
        <d v="2023-11-05T00:00:00"/>
        <d v="2023-06-08T00:00:00"/>
        <d v="2023-04-20T00:00:00"/>
        <d v="2023-09-27T00:00:00"/>
        <d v="2023-08-29T00:00:00"/>
        <d v="2023-03-24T00:00:00"/>
        <d v="2023-07-11T00:00:00"/>
        <d v="2023-11-08T00:00:00"/>
        <d v="2023-09-13T00:00:00"/>
        <d v="2023-01-22T00:00:00"/>
        <d v="2023-09-23T00:00:00"/>
        <d v="2023-06-01T00:00:00"/>
        <d v="2023-01-30T00:00:00"/>
        <d v="2023-07-07T00:00:00"/>
        <d v="2023-11-29T00:00:00"/>
        <d v="2023-11-10T00:00:00"/>
        <d v="2023-06-13T00:00:00"/>
        <d v="2023-03-04T00:00:00"/>
        <d v="2023-02-03T00:00:00"/>
        <d v="2023-03-05T00:00:00"/>
        <d v="2023-11-22T00:00:00"/>
        <d v="2023-11-16T00:00:00"/>
        <d v="2023-03-22T00:00:00"/>
        <d v="2023-07-24T00:00:00"/>
        <d v="2023-07-16T00:00:00"/>
        <d v="2023-04-10T00:00:00"/>
        <d v="2023-09-17T00:00:00"/>
        <d v="2023-12-19T00:00:00"/>
        <d v="2023-12-15T00:00:00"/>
        <d v="2023-08-24T00:00:00"/>
        <d v="2023-06-02T00:00:00"/>
        <d v="2023-12-13T00:00:00"/>
        <d v="2023-09-03T00:00:00"/>
        <d v="2023-03-20T00:00:00"/>
        <d v="2023-11-02T00:00:00"/>
        <d v="2023-03-26T00:00:00"/>
        <d v="2023-08-22T00:00:00"/>
        <d v="2023-02-02T00:00:00"/>
        <d v="2023-04-28T00:00:00"/>
        <d v="2023-05-04T00:00:00"/>
        <d v="2023-03-15T00:00:00"/>
        <d v="2023-09-11T00:00:00"/>
        <d v="2023-04-15T00:00:00"/>
        <d v="2023-03-02T00:00:00"/>
        <d v="2023-10-16T00:00:00"/>
        <d v="2023-02-20T00:00:00"/>
        <d v="2024-01-01T00:00:00"/>
        <d v="2023-11-03T00:00:00"/>
        <d v="2023-07-04T00:00:00"/>
        <d v="2023-11-14T00:00:00"/>
        <d v="2023-07-23T00:00:00"/>
        <d v="2023-04-13T00:00:00"/>
        <d v="2023-07-29T00:00:00"/>
        <d v="2023-01-23T00:00:00"/>
        <d v="2023-12-10T00:00:00"/>
        <d v="2023-12-28T00:00:00"/>
        <d v="2023-05-28T00:00:00"/>
        <d v="2023-10-19T00:00:00"/>
        <d v="2023-02-18T00:00:00"/>
        <d v="2023-03-14T00:00:00"/>
        <d v="2023-12-22T00:00:00"/>
        <d v="2023-08-08T00:00:00"/>
        <d v="2023-01-25T00:00:00"/>
        <d v="2023-12-23T00:00:00"/>
        <d v="2023-06-03T00:00:00"/>
        <d v="2023-03-19T00:00:00"/>
        <d v="2023-03-13T00:00:00"/>
        <d v="2023-12-04T00:00:00"/>
        <d v="2023-08-30T00:00:00"/>
        <d v="2023-09-14T00:00:00"/>
        <d v="2023-05-13T00:00:00"/>
        <d v="2023-11-18T00:00:00"/>
        <d v="2023-12-12T00:00:00"/>
        <d v="2023-01-19T00:00:00"/>
        <d v="2023-03-03T00:00:00"/>
        <d v="2023-06-17T00:00:00"/>
        <d v="2023-06-21T00:00:00"/>
        <d v="2023-12-31T00:00:00"/>
        <d v="2023-03-08T00:00:00"/>
        <d v="2023-08-16T00:00:00"/>
        <d v="2023-07-15T00:00:00"/>
        <d v="2023-10-06T00:00:00"/>
        <d v="2023-01-14T00:00:00"/>
        <d v="2023-04-01T00:00:00"/>
        <d v="2023-04-14T00:00:00"/>
        <d v="2023-01-01T00:00:00"/>
        <d v="2023-03-27T00:00:00"/>
        <d v="2023-01-18T00:00:00"/>
        <d v="2023-02-17T00:00:00"/>
        <d v="2023-04-08T00:00:00"/>
        <d v="2023-05-31T00:00:00"/>
        <d v="2023-04-26T00:00:00"/>
        <d v="2023-07-18T00:00:00"/>
        <d v="2023-02-10T00:00:00"/>
        <d v="2023-10-10T00:00:00"/>
        <d v="2023-02-21T00:00:00"/>
        <d v="2023-07-10T00:00:00"/>
        <d v="2023-08-15T00:00:00"/>
        <d v="2023-05-26T00:00:00"/>
        <d v="2023-12-16T00:00:00"/>
        <d v="2023-05-21T00:00:00"/>
        <d v="2023-09-19T00:00:00"/>
        <d v="2023-06-10T00:00:00"/>
        <d v="2023-01-24T00:00:00"/>
        <d v="2023-02-23T00:00:00"/>
        <d v="2023-03-31T00:00:00"/>
        <d v="2023-03-29T00:00:00"/>
        <d v="2023-09-07T00:00:00"/>
        <d v="2023-10-17T00:00:00"/>
        <d v="2023-10-13T00:00:00"/>
        <d v="2023-05-23T00:00:00"/>
        <d v="2023-11-13T00:00:00"/>
        <d v="2023-11-04T00:00:00"/>
        <d v="2023-05-30T00:00:00"/>
        <d v="2023-04-11T00:00:00"/>
        <d v="2023-10-29T00:00:00"/>
        <d v="2023-12-21T00:00:00"/>
        <d v="2023-10-08T00:00:00"/>
        <d v="2023-10-01T00:00:00"/>
        <d v="2023-04-25T00:00:00"/>
        <d v="2023-01-07T00:00:00"/>
        <d v="2023-10-21T00:00:00"/>
        <d v="2023-07-26T00:00:00"/>
        <d v="2023-05-09T00:00:00"/>
        <d v="2023-05-10T00:00:00"/>
        <d v="2023-10-25T00:00:00"/>
        <d v="2023-06-06T00:00:00"/>
        <d v="2023-02-11T00:00:00"/>
        <d v="2023-10-30T00:00:00"/>
        <d v="2023-05-15T00:00:00"/>
        <d v="2023-01-20T00:00:00"/>
        <d v="2023-04-23T00:00:00"/>
        <d v="2023-04-02T00:00:00"/>
        <d v="2023-04-24T00:00:00"/>
        <d v="2023-03-18T00:00:00"/>
        <d v="2023-10-18T00:00:00"/>
        <d v="2023-12-01T00:00:00"/>
        <d v="2023-01-28T00:00:00"/>
        <d v="2023-03-11T00:00:00"/>
        <d v="2023-08-05T00:00:00"/>
        <d v="2023-02-22T00:00:00"/>
        <d v="2023-12-07T00:00:00"/>
        <d v="2023-11-17T00:00:00"/>
        <d v="2023-04-21T00:00:00"/>
        <d v="2023-06-15T00:00:00"/>
        <d v="2023-12-20T00:00:00"/>
        <d v="2023-05-12T00:00:00"/>
        <d v="2023-01-26T00:00:00"/>
        <d v="2023-07-31T00:00:00"/>
        <d v="2023-05-01T00:00:00"/>
        <d v="2023-08-23T00:00:00"/>
        <d v="2023-05-06T00:00:00"/>
        <d v="2023-11-19T00:00:00"/>
        <d v="2023-11-11T00:00:00"/>
        <d v="2023-01-08T00:00:00"/>
        <d v="2023-07-20T00:00:00"/>
        <d v="2023-08-27T00:00:00"/>
        <d v="2023-05-25T00:00:00"/>
        <d v="2023-09-04T00:00:00"/>
        <d v="2023-01-27T00:00:00"/>
        <d v="2023-08-11T00:00:00"/>
        <d v="2023-09-24T00:00:00"/>
        <d v="2023-08-17T00:00:00"/>
        <d v="2023-02-07T00:00:00"/>
        <d v="2023-11-28T00:00:00"/>
        <d v="2023-06-22T00:00:00"/>
        <d v="2023-01-10T00:00:00"/>
        <d v="2023-06-16T00:00:00"/>
        <d v="2023-06-25T00:00:00"/>
        <d v="2023-04-07T00:00:00"/>
        <d v="2023-08-18T00:00:00"/>
        <d v="2023-10-07T00:00:00"/>
        <d v="2023-07-02T00:00:00"/>
        <d v="2023-08-07T00:00:00"/>
        <d v="2023-08-01T00:00:00"/>
        <d v="2023-09-26T00:00:00"/>
        <d v="2023-09-06T00:00:00"/>
        <d v="2023-04-27T00:00:00"/>
        <d v="2023-04-16T00:00:00"/>
        <d v="2023-08-06T00:00:00"/>
        <d v="2023-01-21T00:00:00"/>
        <d v="2023-05-29T00:00:00"/>
        <d v="2023-12-08T00:00:00"/>
        <d v="2023-12-05T00:00:00"/>
        <d v="2023-11-07T00:00:00"/>
        <d v="2023-02-15T00:00:00"/>
        <d v="2023-06-20T00:00:00"/>
        <d v="2023-05-16T00:00:00"/>
        <d v="2023-12-30T00:00:00"/>
        <d v="2023-12-29T00:00:00"/>
        <d v="2023-05-03T00:00:00"/>
        <d v="2023-08-10T00:00:00"/>
        <d v="2023-02-12T00:00:00"/>
        <d v="2023-07-27T00:00:00"/>
        <d v="2023-03-17T00:00:00"/>
        <d v="2023-09-10T00:00:00"/>
        <d v="2023-01-06T00:00:00"/>
        <d v="2023-06-26T00:00:00"/>
        <d v="2023-09-28T00:00:00"/>
        <d v="2023-07-28T00:00:00"/>
        <d v="2023-03-06T00:00:00"/>
        <d v="2023-12-24T00:00:00"/>
        <d v="2023-11-27T00:00:00"/>
        <d v="2023-07-13T00:00:00"/>
        <d v="2023-02-06T00:00:00"/>
        <d v="2023-12-02T00:00:00"/>
        <d v="2023-04-30T00:00:00"/>
        <d v="2023-02-26T00:00:00"/>
        <d v="2023-04-22T00:00:00"/>
        <d v="2023-04-17T00:00:00"/>
        <d v="2023-07-22T00:00:00"/>
        <d v="2023-07-05T00:00:00"/>
        <d v="2023-02-01T00:00:00"/>
        <d v="2023-12-25T00:00:00"/>
        <d v="2023-02-14T00:00:00"/>
        <d v="2023-03-23T00:00:00"/>
        <d v="2023-07-12T00:00:00"/>
        <d v="2023-10-27T00:00:00"/>
        <d v="2023-05-19T00:00:00"/>
        <d v="2023-07-21T00:00:00"/>
        <d v="2023-08-04T00:00:00"/>
        <d v="2023-05-18T00:00:00"/>
        <d v="2023-09-20T00:00:00"/>
        <d v="2023-09-02T00:00:00"/>
        <d v="2023-10-02T00:00:00"/>
        <d v="2023-03-28T00:00:00"/>
        <d v="2023-06-28T00:00:00"/>
        <d v="2023-07-25T00:00:00"/>
        <d v="2023-06-29T00:00:00"/>
        <d v="2023-06-27T00:00:00"/>
        <d v="2023-09-16T00:00:00"/>
        <d v="2023-05-08T00:00:00"/>
        <d v="2023-08-12T00:00:00"/>
        <d v="2023-01-15T00:00:00"/>
        <d v="2023-01-29T00:00:00"/>
        <d v="2023-01-13T00:00:00"/>
        <d v="2023-10-11T00:00:00"/>
        <d v="2023-08-14T00:00:00"/>
        <d v="2023-02-09T00:00:00"/>
        <d v="2023-03-01T00:00:00"/>
        <d v="2023-08-03T00:00:00"/>
        <d v="2023-09-18T00:00:00"/>
        <d v="2023-04-18T00:00:00"/>
        <d v="2023-04-12T00:00:00"/>
        <d v="2023-12-26T00:00:00"/>
        <d v="2023-01-03T00:00:00"/>
        <d v="2023-12-18T00:00:00"/>
        <d v="2023-11-12T00:00:00"/>
      </sharedItems>
      <fieldGroup par="12" base="1">
        <rangePr groupBy="months" startDate="2023-01-01T00:00:00" endDate="2024-01-02T00:00:00"/>
        <groupItems count="14">
          <s v="&lt;01/01/2023"/>
          <s v="Jan"/>
          <s v="Feb"/>
          <s v="Mar"/>
          <s v="Apr"/>
          <s v="May"/>
          <s v="Jun"/>
          <s v="Jul"/>
          <s v="Aug"/>
          <s v="Sep"/>
          <s v="Oct"/>
          <s v="Nov"/>
          <s v="Dec"/>
          <s v="&gt;02/01/2024"/>
        </groupItems>
      </fieldGroup>
    </cacheField>
    <cacheField name="Customer_Name" numFmtId="0">
      <sharedItems count="11">
        <s v="Citra"/>
        <s v="Dewi"/>
        <s v="Budi"/>
        <s v="Kiki"/>
        <s v="Andi"/>
        <s v="Eka"/>
        <s v="Indra"/>
        <s v="Hana"/>
        <s v="Fajar"/>
        <s v="Gilang"/>
        <s v="Joko"/>
      </sharedItems>
    </cacheField>
    <cacheField name="Product" numFmtId="0">
      <sharedItems count="10">
        <s v="Roti"/>
        <s v="Kopi"/>
        <s v="Gula"/>
        <s v="Sabun"/>
        <s v="Minyak Goreng"/>
        <s v="Beras"/>
        <s v="Teh"/>
        <s v="Susu"/>
        <s v="Indomie"/>
        <s v="Shampoo"/>
      </sharedItems>
      <fieldGroup par="13"/>
    </cacheField>
    <cacheField name="Quantity" numFmtId="1">
      <sharedItems containsSemiMixedTypes="0" containsString="0" containsNumber="1" containsInteger="1" minValue="1" maxValue="5"/>
    </cacheField>
    <cacheField name="Price" numFmtId="1">
      <sharedItems containsSemiMixedTypes="0" containsString="0" containsNumber="1" containsInteger="1" minValue="5000" maxValue="20000"/>
    </cacheField>
    <cacheField name="Total" numFmtId="1">
      <sharedItems containsSemiMixedTypes="0" containsString="0" containsNumber="1" containsInteger="1" minValue="5000" maxValue="100000"/>
    </cacheField>
    <cacheField name="Payment_Method" numFmtId="0">
      <sharedItems count="4">
        <s v="Debit"/>
        <s v="Cash"/>
        <s v="Credit"/>
        <s v="E-Wallet"/>
      </sharedItems>
    </cacheField>
    <cacheField name="Branch" numFmtId="0">
      <sharedItems count="5">
        <s v="Bandung"/>
        <s v="Yogyakarta"/>
        <s v="Medan"/>
        <s v="Jakarta"/>
        <s v="Surabaya"/>
      </sharedItems>
    </cacheField>
    <cacheField name="City" numFmtId="0">
      <sharedItems count="5">
        <s v="Bandung"/>
        <s v="Yogyakarta"/>
        <s v="Medan"/>
        <s v="Jakarta"/>
        <s v="Surabaya"/>
      </sharedItems>
    </cacheField>
    <cacheField name="avgorder" numFmtId="0" formula="Total/Transaction_ID" databaseField="0"/>
    <cacheField name="Quarters" numFmtId="0" databaseField="0">
      <fieldGroup base="1">
        <rangePr groupBy="quarters" startDate="2023-01-01T00:00:00" endDate="2024-01-02T00:00:00"/>
        <groupItems count="6">
          <s v="&lt;01/01/2023"/>
          <s v="Qtr1"/>
          <s v="Qtr2"/>
          <s v="Qtr3"/>
          <s v="Qtr4"/>
          <s v="&gt;02/01/2024"/>
        </groupItems>
      </fieldGroup>
    </cacheField>
    <cacheField name="Years" numFmtId="0" databaseField="0">
      <fieldGroup base="1">
        <rangePr groupBy="years" startDate="2023-01-01T00:00:00" endDate="2024-01-02T00:00:00"/>
        <groupItems count="4">
          <s v="&lt;01/01/2023"/>
          <s v="2023"/>
          <s v="2024"/>
          <s v="&gt;02/01/2024"/>
        </groupItems>
      </fieldGroup>
    </cacheField>
    <cacheField name="Product2" numFmtId="0" databaseField="0">
      <fieldGroup base="3">
        <discretePr count="10">
          <x v="2"/>
          <x v="0"/>
          <x v="2"/>
          <x v="1"/>
          <x v="5"/>
          <x v="3"/>
          <x v="2"/>
          <x v="6"/>
          <x v="4"/>
          <x v="2"/>
        </discretePr>
        <groupItems count="7">
          <s v="Kopi"/>
          <s v="Sabun"/>
          <s v="Group1"/>
          <s v="Beras"/>
          <s v="Indomie"/>
          <s v="Minyak Goreng"/>
          <s v="Susu"/>
        </groupItems>
      </fieldGroup>
    </cacheField>
  </cacheFields>
  <extLst>
    <ext xmlns:x14="http://schemas.microsoft.com/office/spreadsheetml/2009/9/main" uri="{725AE2AE-9491-48be-B2B4-4EB974FC3084}">
      <x14:pivotCacheDefinition pivotCacheId="10963430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
  <r>
    <x v="0"/>
    <x v="0"/>
    <x v="0"/>
    <x v="0"/>
    <n v="1"/>
    <n v="10000"/>
    <n v="10000"/>
    <x v="0"/>
    <x v="0"/>
    <x v="0"/>
  </r>
  <r>
    <x v="1"/>
    <x v="1"/>
    <x v="1"/>
    <x v="0"/>
    <n v="2"/>
    <n v="10000"/>
    <n v="20000"/>
    <x v="1"/>
    <x v="1"/>
    <x v="1"/>
  </r>
  <r>
    <x v="2"/>
    <x v="2"/>
    <x v="1"/>
    <x v="1"/>
    <n v="3"/>
    <n v="20000"/>
    <n v="60000"/>
    <x v="2"/>
    <x v="0"/>
    <x v="0"/>
  </r>
  <r>
    <x v="3"/>
    <x v="3"/>
    <x v="2"/>
    <x v="2"/>
    <n v="1"/>
    <n v="10000"/>
    <n v="10000"/>
    <x v="1"/>
    <x v="2"/>
    <x v="2"/>
  </r>
  <r>
    <x v="4"/>
    <x v="4"/>
    <x v="1"/>
    <x v="0"/>
    <n v="1"/>
    <n v="10000"/>
    <n v="10000"/>
    <x v="2"/>
    <x v="3"/>
    <x v="3"/>
  </r>
  <r>
    <x v="5"/>
    <x v="5"/>
    <x v="3"/>
    <x v="3"/>
    <n v="3"/>
    <n v="15000"/>
    <n v="45000"/>
    <x v="1"/>
    <x v="1"/>
    <x v="1"/>
  </r>
  <r>
    <x v="6"/>
    <x v="0"/>
    <x v="4"/>
    <x v="4"/>
    <n v="2"/>
    <n v="10000"/>
    <n v="20000"/>
    <x v="1"/>
    <x v="0"/>
    <x v="0"/>
  </r>
  <r>
    <x v="7"/>
    <x v="6"/>
    <x v="5"/>
    <x v="3"/>
    <n v="3"/>
    <n v="20000"/>
    <n v="60000"/>
    <x v="3"/>
    <x v="0"/>
    <x v="0"/>
  </r>
  <r>
    <x v="8"/>
    <x v="7"/>
    <x v="4"/>
    <x v="5"/>
    <n v="3"/>
    <n v="10000"/>
    <n v="30000"/>
    <x v="3"/>
    <x v="3"/>
    <x v="3"/>
  </r>
  <r>
    <x v="9"/>
    <x v="8"/>
    <x v="4"/>
    <x v="5"/>
    <n v="5"/>
    <n v="20000"/>
    <n v="100000"/>
    <x v="2"/>
    <x v="1"/>
    <x v="1"/>
  </r>
  <r>
    <x v="10"/>
    <x v="9"/>
    <x v="5"/>
    <x v="0"/>
    <n v="3"/>
    <n v="20000"/>
    <n v="60000"/>
    <x v="3"/>
    <x v="3"/>
    <x v="3"/>
  </r>
  <r>
    <x v="11"/>
    <x v="0"/>
    <x v="6"/>
    <x v="4"/>
    <n v="5"/>
    <n v="10000"/>
    <n v="50000"/>
    <x v="2"/>
    <x v="0"/>
    <x v="0"/>
  </r>
  <r>
    <x v="12"/>
    <x v="10"/>
    <x v="2"/>
    <x v="6"/>
    <n v="3"/>
    <n v="10000"/>
    <n v="30000"/>
    <x v="0"/>
    <x v="1"/>
    <x v="1"/>
  </r>
  <r>
    <x v="13"/>
    <x v="11"/>
    <x v="6"/>
    <x v="2"/>
    <n v="5"/>
    <n v="10000"/>
    <n v="50000"/>
    <x v="3"/>
    <x v="0"/>
    <x v="0"/>
  </r>
  <r>
    <x v="14"/>
    <x v="12"/>
    <x v="2"/>
    <x v="2"/>
    <n v="5"/>
    <n v="20000"/>
    <n v="100000"/>
    <x v="0"/>
    <x v="0"/>
    <x v="0"/>
  </r>
  <r>
    <x v="15"/>
    <x v="13"/>
    <x v="6"/>
    <x v="7"/>
    <n v="2"/>
    <n v="5000"/>
    <n v="10000"/>
    <x v="2"/>
    <x v="3"/>
    <x v="3"/>
  </r>
  <r>
    <x v="16"/>
    <x v="14"/>
    <x v="2"/>
    <x v="8"/>
    <n v="4"/>
    <n v="10000"/>
    <n v="40000"/>
    <x v="3"/>
    <x v="0"/>
    <x v="0"/>
  </r>
  <r>
    <x v="17"/>
    <x v="15"/>
    <x v="1"/>
    <x v="0"/>
    <n v="1"/>
    <n v="20000"/>
    <n v="20000"/>
    <x v="2"/>
    <x v="3"/>
    <x v="3"/>
  </r>
  <r>
    <x v="18"/>
    <x v="12"/>
    <x v="1"/>
    <x v="2"/>
    <n v="5"/>
    <n v="5000"/>
    <n v="25000"/>
    <x v="1"/>
    <x v="3"/>
    <x v="3"/>
  </r>
  <r>
    <x v="19"/>
    <x v="12"/>
    <x v="6"/>
    <x v="7"/>
    <n v="4"/>
    <n v="15000"/>
    <n v="60000"/>
    <x v="2"/>
    <x v="2"/>
    <x v="2"/>
  </r>
  <r>
    <x v="20"/>
    <x v="12"/>
    <x v="7"/>
    <x v="7"/>
    <n v="3"/>
    <n v="15000"/>
    <n v="45000"/>
    <x v="1"/>
    <x v="1"/>
    <x v="1"/>
  </r>
  <r>
    <x v="21"/>
    <x v="12"/>
    <x v="2"/>
    <x v="0"/>
    <n v="5"/>
    <n v="5000"/>
    <n v="25000"/>
    <x v="0"/>
    <x v="2"/>
    <x v="2"/>
  </r>
  <r>
    <x v="22"/>
    <x v="16"/>
    <x v="3"/>
    <x v="8"/>
    <n v="5"/>
    <n v="15000"/>
    <n v="75000"/>
    <x v="2"/>
    <x v="0"/>
    <x v="0"/>
  </r>
  <r>
    <x v="23"/>
    <x v="6"/>
    <x v="6"/>
    <x v="0"/>
    <n v="1"/>
    <n v="20000"/>
    <n v="20000"/>
    <x v="1"/>
    <x v="3"/>
    <x v="3"/>
  </r>
  <r>
    <x v="24"/>
    <x v="12"/>
    <x v="3"/>
    <x v="9"/>
    <n v="2"/>
    <n v="20000"/>
    <n v="40000"/>
    <x v="2"/>
    <x v="1"/>
    <x v="1"/>
  </r>
  <r>
    <x v="25"/>
    <x v="17"/>
    <x v="5"/>
    <x v="9"/>
    <n v="1"/>
    <n v="5000"/>
    <n v="5000"/>
    <x v="0"/>
    <x v="4"/>
    <x v="4"/>
  </r>
  <r>
    <x v="26"/>
    <x v="18"/>
    <x v="4"/>
    <x v="9"/>
    <n v="1"/>
    <n v="5000"/>
    <n v="5000"/>
    <x v="3"/>
    <x v="4"/>
    <x v="4"/>
  </r>
  <r>
    <x v="27"/>
    <x v="12"/>
    <x v="6"/>
    <x v="5"/>
    <n v="5"/>
    <n v="5000"/>
    <n v="25000"/>
    <x v="1"/>
    <x v="0"/>
    <x v="0"/>
  </r>
  <r>
    <x v="28"/>
    <x v="19"/>
    <x v="8"/>
    <x v="7"/>
    <n v="3"/>
    <n v="10000"/>
    <n v="30000"/>
    <x v="0"/>
    <x v="3"/>
    <x v="3"/>
  </r>
  <r>
    <x v="29"/>
    <x v="20"/>
    <x v="9"/>
    <x v="1"/>
    <n v="2"/>
    <n v="20000"/>
    <n v="40000"/>
    <x v="0"/>
    <x v="4"/>
    <x v="4"/>
  </r>
  <r>
    <x v="30"/>
    <x v="21"/>
    <x v="7"/>
    <x v="5"/>
    <n v="1"/>
    <n v="12500"/>
    <n v="12500"/>
    <x v="0"/>
    <x v="0"/>
    <x v="0"/>
  </r>
  <r>
    <x v="31"/>
    <x v="12"/>
    <x v="3"/>
    <x v="6"/>
    <n v="3"/>
    <n v="12500"/>
    <n v="37500"/>
    <x v="2"/>
    <x v="4"/>
    <x v="4"/>
  </r>
  <r>
    <x v="32"/>
    <x v="22"/>
    <x v="9"/>
    <x v="1"/>
    <n v="5"/>
    <n v="15000"/>
    <n v="75000"/>
    <x v="1"/>
    <x v="1"/>
    <x v="1"/>
  </r>
  <r>
    <x v="33"/>
    <x v="23"/>
    <x v="6"/>
    <x v="3"/>
    <n v="3"/>
    <n v="5000"/>
    <n v="15000"/>
    <x v="3"/>
    <x v="3"/>
    <x v="3"/>
  </r>
  <r>
    <x v="34"/>
    <x v="19"/>
    <x v="5"/>
    <x v="5"/>
    <n v="1"/>
    <n v="10000"/>
    <n v="10000"/>
    <x v="2"/>
    <x v="3"/>
    <x v="3"/>
  </r>
  <r>
    <x v="35"/>
    <x v="24"/>
    <x v="10"/>
    <x v="5"/>
    <n v="3"/>
    <n v="20000"/>
    <n v="60000"/>
    <x v="0"/>
    <x v="3"/>
    <x v="1"/>
  </r>
  <r>
    <x v="36"/>
    <x v="25"/>
    <x v="3"/>
    <x v="8"/>
    <n v="3"/>
    <n v="15000"/>
    <n v="45000"/>
    <x v="3"/>
    <x v="2"/>
    <x v="2"/>
  </r>
  <r>
    <x v="37"/>
    <x v="26"/>
    <x v="1"/>
    <x v="9"/>
    <n v="5"/>
    <n v="10000"/>
    <n v="50000"/>
    <x v="2"/>
    <x v="3"/>
    <x v="3"/>
  </r>
  <r>
    <x v="38"/>
    <x v="27"/>
    <x v="7"/>
    <x v="8"/>
    <n v="1"/>
    <n v="20000"/>
    <n v="20000"/>
    <x v="0"/>
    <x v="2"/>
    <x v="2"/>
  </r>
  <r>
    <x v="39"/>
    <x v="28"/>
    <x v="6"/>
    <x v="5"/>
    <n v="2"/>
    <n v="10000"/>
    <n v="20000"/>
    <x v="3"/>
    <x v="3"/>
    <x v="3"/>
  </r>
  <r>
    <x v="40"/>
    <x v="29"/>
    <x v="7"/>
    <x v="8"/>
    <n v="3"/>
    <n v="12500"/>
    <n v="37500"/>
    <x v="3"/>
    <x v="1"/>
    <x v="1"/>
  </r>
  <r>
    <x v="41"/>
    <x v="30"/>
    <x v="7"/>
    <x v="9"/>
    <n v="5"/>
    <n v="20000"/>
    <n v="100000"/>
    <x v="0"/>
    <x v="4"/>
    <x v="4"/>
  </r>
  <r>
    <x v="42"/>
    <x v="31"/>
    <x v="2"/>
    <x v="1"/>
    <n v="2"/>
    <n v="20000"/>
    <n v="40000"/>
    <x v="0"/>
    <x v="0"/>
    <x v="0"/>
  </r>
  <r>
    <x v="43"/>
    <x v="32"/>
    <x v="4"/>
    <x v="8"/>
    <n v="3"/>
    <n v="5000"/>
    <n v="15000"/>
    <x v="3"/>
    <x v="2"/>
    <x v="2"/>
  </r>
  <r>
    <x v="44"/>
    <x v="33"/>
    <x v="9"/>
    <x v="4"/>
    <n v="5"/>
    <n v="10000"/>
    <n v="50000"/>
    <x v="0"/>
    <x v="4"/>
    <x v="4"/>
  </r>
  <r>
    <x v="45"/>
    <x v="34"/>
    <x v="10"/>
    <x v="1"/>
    <n v="5"/>
    <n v="15000"/>
    <n v="75000"/>
    <x v="3"/>
    <x v="1"/>
    <x v="1"/>
  </r>
  <r>
    <x v="46"/>
    <x v="22"/>
    <x v="9"/>
    <x v="5"/>
    <n v="3"/>
    <n v="10000"/>
    <n v="30000"/>
    <x v="2"/>
    <x v="4"/>
    <x v="4"/>
  </r>
  <r>
    <x v="47"/>
    <x v="35"/>
    <x v="4"/>
    <x v="7"/>
    <n v="3"/>
    <n v="10000"/>
    <n v="30000"/>
    <x v="1"/>
    <x v="3"/>
    <x v="3"/>
  </r>
  <r>
    <x v="48"/>
    <x v="36"/>
    <x v="0"/>
    <x v="0"/>
    <n v="5"/>
    <n v="10000"/>
    <n v="50000"/>
    <x v="2"/>
    <x v="4"/>
    <x v="4"/>
  </r>
  <r>
    <x v="49"/>
    <x v="37"/>
    <x v="1"/>
    <x v="0"/>
    <n v="5"/>
    <n v="5000"/>
    <n v="25000"/>
    <x v="3"/>
    <x v="2"/>
    <x v="2"/>
  </r>
  <r>
    <x v="50"/>
    <x v="38"/>
    <x v="6"/>
    <x v="8"/>
    <n v="1"/>
    <n v="12500"/>
    <n v="12500"/>
    <x v="1"/>
    <x v="4"/>
    <x v="4"/>
  </r>
  <r>
    <x v="51"/>
    <x v="18"/>
    <x v="9"/>
    <x v="0"/>
    <n v="4"/>
    <n v="15000"/>
    <n v="60000"/>
    <x v="3"/>
    <x v="0"/>
    <x v="0"/>
  </r>
  <r>
    <x v="52"/>
    <x v="39"/>
    <x v="1"/>
    <x v="2"/>
    <n v="4"/>
    <n v="12500"/>
    <n v="50000"/>
    <x v="2"/>
    <x v="4"/>
    <x v="4"/>
  </r>
  <r>
    <x v="53"/>
    <x v="40"/>
    <x v="7"/>
    <x v="5"/>
    <n v="3"/>
    <n v="5000"/>
    <n v="15000"/>
    <x v="2"/>
    <x v="0"/>
    <x v="0"/>
  </r>
  <r>
    <x v="54"/>
    <x v="41"/>
    <x v="9"/>
    <x v="4"/>
    <n v="1"/>
    <n v="15000"/>
    <n v="15000"/>
    <x v="1"/>
    <x v="0"/>
    <x v="0"/>
  </r>
  <r>
    <x v="55"/>
    <x v="42"/>
    <x v="3"/>
    <x v="2"/>
    <n v="3"/>
    <n v="10000"/>
    <n v="30000"/>
    <x v="0"/>
    <x v="4"/>
    <x v="4"/>
  </r>
  <r>
    <x v="56"/>
    <x v="43"/>
    <x v="1"/>
    <x v="6"/>
    <n v="3"/>
    <n v="20000"/>
    <n v="60000"/>
    <x v="2"/>
    <x v="4"/>
    <x v="4"/>
  </r>
  <r>
    <x v="57"/>
    <x v="44"/>
    <x v="6"/>
    <x v="3"/>
    <n v="2"/>
    <n v="10000"/>
    <n v="20000"/>
    <x v="2"/>
    <x v="1"/>
    <x v="1"/>
  </r>
  <r>
    <x v="58"/>
    <x v="45"/>
    <x v="4"/>
    <x v="7"/>
    <n v="3"/>
    <n v="15000"/>
    <n v="45000"/>
    <x v="2"/>
    <x v="3"/>
    <x v="3"/>
  </r>
  <r>
    <x v="59"/>
    <x v="12"/>
    <x v="0"/>
    <x v="8"/>
    <n v="3"/>
    <n v="20000"/>
    <n v="60000"/>
    <x v="3"/>
    <x v="4"/>
    <x v="4"/>
  </r>
  <r>
    <x v="60"/>
    <x v="46"/>
    <x v="0"/>
    <x v="0"/>
    <n v="5"/>
    <n v="10000"/>
    <n v="50000"/>
    <x v="1"/>
    <x v="0"/>
    <x v="0"/>
  </r>
  <r>
    <x v="61"/>
    <x v="47"/>
    <x v="9"/>
    <x v="8"/>
    <n v="5"/>
    <n v="12500"/>
    <n v="62500"/>
    <x v="0"/>
    <x v="1"/>
    <x v="1"/>
  </r>
  <r>
    <x v="62"/>
    <x v="12"/>
    <x v="5"/>
    <x v="7"/>
    <n v="5"/>
    <n v="10000"/>
    <n v="50000"/>
    <x v="0"/>
    <x v="0"/>
    <x v="0"/>
  </r>
  <r>
    <x v="63"/>
    <x v="48"/>
    <x v="5"/>
    <x v="8"/>
    <n v="4"/>
    <n v="15000"/>
    <n v="60000"/>
    <x v="0"/>
    <x v="4"/>
    <x v="4"/>
  </r>
  <r>
    <x v="64"/>
    <x v="12"/>
    <x v="6"/>
    <x v="8"/>
    <n v="3"/>
    <n v="12500"/>
    <n v="37500"/>
    <x v="3"/>
    <x v="3"/>
    <x v="3"/>
  </r>
  <r>
    <x v="65"/>
    <x v="49"/>
    <x v="2"/>
    <x v="8"/>
    <n v="3"/>
    <n v="12500"/>
    <n v="37500"/>
    <x v="2"/>
    <x v="2"/>
    <x v="2"/>
  </r>
  <r>
    <x v="66"/>
    <x v="50"/>
    <x v="5"/>
    <x v="0"/>
    <n v="5"/>
    <n v="5000"/>
    <n v="25000"/>
    <x v="2"/>
    <x v="1"/>
    <x v="1"/>
  </r>
  <r>
    <x v="67"/>
    <x v="51"/>
    <x v="3"/>
    <x v="9"/>
    <n v="5"/>
    <n v="5000"/>
    <n v="25000"/>
    <x v="3"/>
    <x v="1"/>
    <x v="1"/>
  </r>
  <r>
    <x v="68"/>
    <x v="52"/>
    <x v="0"/>
    <x v="2"/>
    <n v="3"/>
    <n v="20000"/>
    <n v="60000"/>
    <x v="2"/>
    <x v="3"/>
    <x v="3"/>
  </r>
  <r>
    <x v="69"/>
    <x v="53"/>
    <x v="2"/>
    <x v="7"/>
    <n v="4"/>
    <n v="5000"/>
    <n v="20000"/>
    <x v="2"/>
    <x v="4"/>
    <x v="4"/>
  </r>
  <r>
    <x v="70"/>
    <x v="54"/>
    <x v="7"/>
    <x v="2"/>
    <n v="4"/>
    <n v="5000"/>
    <n v="20000"/>
    <x v="2"/>
    <x v="1"/>
    <x v="1"/>
  </r>
  <r>
    <x v="71"/>
    <x v="50"/>
    <x v="5"/>
    <x v="2"/>
    <n v="1"/>
    <n v="5000"/>
    <n v="5000"/>
    <x v="0"/>
    <x v="0"/>
    <x v="0"/>
  </r>
  <r>
    <x v="72"/>
    <x v="55"/>
    <x v="6"/>
    <x v="0"/>
    <n v="3"/>
    <n v="12500"/>
    <n v="37500"/>
    <x v="3"/>
    <x v="4"/>
    <x v="4"/>
  </r>
  <r>
    <x v="73"/>
    <x v="56"/>
    <x v="5"/>
    <x v="5"/>
    <n v="2"/>
    <n v="15000"/>
    <n v="30000"/>
    <x v="0"/>
    <x v="3"/>
    <x v="3"/>
  </r>
  <r>
    <x v="74"/>
    <x v="57"/>
    <x v="7"/>
    <x v="9"/>
    <n v="3"/>
    <n v="15000"/>
    <n v="45000"/>
    <x v="3"/>
    <x v="0"/>
    <x v="0"/>
  </r>
  <r>
    <x v="75"/>
    <x v="58"/>
    <x v="9"/>
    <x v="3"/>
    <n v="3"/>
    <n v="10000"/>
    <n v="30000"/>
    <x v="3"/>
    <x v="0"/>
    <x v="0"/>
  </r>
  <r>
    <x v="76"/>
    <x v="59"/>
    <x v="7"/>
    <x v="1"/>
    <n v="4"/>
    <n v="5000"/>
    <n v="20000"/>
    <x v="2"/>
    <x v="3"/>
    <x v="3"/>
  </r>
  <r>
    <x v="77"/>
    <x v="60"/>
    <x v="9"/>
    <x v="0"/>
    <n v="4"/>
    <n v="12500"/>
    <n v="50000"/>
    <x v="2"/>
    <x v="1"/>
    <x v="1"/>
  </r>
  <r>
    <x v="78"/>
    <x v="61"/>
    <x v="3"/>
    <x v="2"/>
    <n v="5"/>
    <n v="5000"/>
    <n v="25000"/>
    <x v="1"/>
    <x v="0"/>
    <x v="0"/>
  </r>
  <r>
    <x v="79"/>
    <x v="62"/>
    <x v="4"/>
    <x v="0"/>
    <n v="4"/>
    <n v="10000"/>
    <n v="40000"/>
    <x v="2"/>
    <x v="3"/>
    <x v="3"/>
  </r>
  <r>
    <x v="80"/>
    <x v="63"/>
    <x v="2"/>
    <x v="8"/>
    <n v="3"/>
    <n v="12500"/>
    <n v="37500"/>
    <x v="0"/>
    <x v="0"/>
    <x v="0"/>
  </r>
  <r>
    <x v="81"/>
    <x v="64"/>
    <x v="7"/>
    <x v="2"/>
    <n v="3"/>
    <n v="15000"/>
    <n v="45000"/>
    <x v="2"/>
    <x v="3"/>
    <x v="3"/>
  </r>
  <r>
    <x v="82"/>
    <x v="65"/>
    <x v="5"/>
    <x v="9"/>
    <n v="3"/>
    <n v="20000"/>
    <n v="60000"/>
    <x v="2"/>
    <x v="2"/>
    <x v="2"/>
  </r>
  <r>
    <x v="83"/>
    <x v="66"/>
    <x v="4"/>
    <x v="9"/>
    <n v="3"/>
    <n v="15000"/>
    <n v="45000"/>
    <x v="3"/>
    <x v="4"/>
    <x v="4"/>
  </r>
  <r>
    <x v="84"/>
    <x v="67"/>
    <x v="10"/>
    <x v="9"/>
    <n v="2"/>
    <n v="15000"/>
    <n v="30000"/>
    <x v="0"/>
    <x v="0"/>
    <x v="0"/>
  </r>
  <r>
    <x v="85"/>
    <x v="68"/>
    <x v="8"/>
    <x v="7"/>
    <n v="3"/>
    <n v="12500"/>
    <n v="37500"/>
    <x v="1"/>
    <x v="1"/>
    <x v="1"/>
  </r>
  <r>
    <x v="86"/>
    <x v="69"/>
    <x v="5"/>
    <x v="4"/>
    <n v="3"/>
    <n v="15000"/>
    <n v="45000"/>
    <x v="2"/>
    <x v="0"/>
    <x v="0"/>
  </r>
  <r>
    <x v="87"/>
    <x v="70"/>
    <x v="8"/>
    <x v="2"/>
    <n v="1"/>
    <n v="10000"/>
    <n v="10000"/>
    <x v="3"/>
    <x v="1"/>
    <x v="1"/>
  </r>
  <r>
    <x v="88"/>
    <x v="12"/>
    <x v="3"/>
    <x v="9"/>
    <n v="5"/>
    <n v="20000"/>
    <n v="100000"/>
    <x v="2"/>
    <x v="3"/>
    <x v="3"/>
  </r>
  <r>
    <x v="89"/>
    <x v="71"/>
    <x v="4"/>
    <x v="9"/>
    <n v="3"/>
    <n v="20000"/>
    <n v="60000"/>
    <x v="0"/>
    <x v="3"/>
    <x v="3"/>
  </r>
  <r>
    <x v="90"/>
    <x v="72"/>
    <x v="0"/>
    <x v="2"/>
    <n v="3"/>
    <n v="10000"/>
    <n v="30000"/>
    <x v="3"/>
    <x v="1"/>
    <x v="1"/>
  </r>
  <r>
    <x v="91"/>
    <x v="73"/>
    <x v="1"/>
    <x v="7"/>
    <n v="3"/>
    <n v="15000"/>
    <n v="45000"/>
    <x v="3"/>
    <x v="2"/>
    <x v="2"/>
  </r>
  <r>
    <x v="92"/>
    <x v="74"/>
    <x v="2"/>
    <x v="7"/>
    <n v="4"/>
    <n v="15000"/>
    <n v="60000"/>
    <x v="1"/>
    <x v="2"/>
    <x v="2"/>
  </r>
  <r>
    <x v="93"/>
    <x v="75"/>
    <x v="1"/>
    <x v="1"/>
    <n v="5"/>
    <n v="10000"/>
    <n v="50000"/>
    <x v="0"/>
    <x v="1"/>
    <x v="1"/>
  </r>
  <r>
    <x v="94"/>
    <x v="41"/>
    <x v="3"/>
    <x v="1"/>
    <n v="2"/>
    <n v="15000"/>
    <n v="30000"/>
    <x v="0"/>
    <x v="3"/>
    <x v="3"/>
  </r>
  <r>
    <x v="95"/>
    <x v="42"/>
    <x v="2"/>
    <x v="1"/>
    <n v="3"/>
    <n v="5000"/>
    <n v="15000"/>
    <x v="3"/>
    <x v="1"/>
    <x v="1"/>
  </r>
  <r>
    <x v="96"/>
    <x v="76"/>
    <x v="3"/>
    <x v="3"/>
    <n v="5"/>
    <n v="5000"/>
    <n v="25000"/>
    <x v="2"/>
    <x v="2"/>
    <x v="2"/>
  </r>
  <r>
    <x v="97"/>
    <x v="46"/>
    <x v="0"/>
    <x v="2"/>
    <n v="1"/>
    <n v="5000"/>
    <n v="5000"/>
    <x v="0"/>
    <x v="3"/>
    <x v="3"/>
  </r>
  <r>
    <x v="98"/>
    <x v="77"/>
    <x v="2"/>
    <x v="9"/>
    <n v="4"/>
    <n v="15000"/>
    <n v="60000"/>
    <x v="3"/>
    <x v="3"/>
    <x v="3"/>
  </r>
  <r>
    <x v="99"/>
    <x v="78"/>
    <x v="2"/>
    <x v="3"/>
    <n v="4"/>
    <n v="15000"/>
    <n v="60000"/>
    <x v="3"/>
    <x v="2"/>
    <x v="2"/>
  </r>
  <r>
    <x v="100"/>
    <x v="79"/>
    <x v="2"/>
    <x v="0"/>
    <n v="1"/>
    <n v="12500"/>
    <n v="12500"/>
    <x v="1"/>
    <x v="2"/>
    <x v="2"/>
  </r>
  <r>
    <x v="101"/>
    <x v="80"/>
    <x v="4"/>
    <x v="6"/>
    <n v="3"/>
    <n v="5000"/>
    <n v="15000"/>
    <x v="2"/>
    <x v="2"/>
    <x v="2"/>
  </r>
  <r>
    <x v="102"/>
    <x v="16"/>
    <x v="8"/>
    <x v="2"/>
    <n v="2"/>
    <n v="12500"/>
    <n v="25000"/>
    <x v="2"/>
    <x v="1"/>
    <x v="1"/>
  </r>
  <r>
    <x v="103"/>
    <x v="81"/>
    <x v="3"/>
    <x v="8"/>
    <n v="3"/>
    <n v="10000"/>
    <n v="30000"/>
    <x v="1"/>
    <x v="1"/>
    <x v="1"/>
  </r>
  <r>
    <x v="104"/>
    <x v="82"/>
    <x v="0"/>
    <x v="6"/>
    <n v="1"/>
    <n v="10000"/>
    <n v="10000"/>
    <x v="3"/>
    <x v="3"/>
    <x v="3"/>
  </r>
  <r>
    <x v="105"/>
    <x v="72"/>
    <x v="10"/>
    <x v="6"/>
    <n v="2"/>
    <n v="15000"/>
    <n v="30000"/>
    <x v="2"/>
    <x v="1"/>
    <x v="1"/>
  </r>
  <r>
    <x v="106"/>
    <x v="83"/>
    <x v="5"/>
    <x v="2"/>
    <n v="3"/>
    <n v="20000"/>
    <n v="60000"/>
    <x v="3"/>
    <x v="2"/>
    <x v="2"/>
  </r>
  <r>
    <x v="107"/>
    <x v="84"/>
    <x v="9"/>
    <x v="2"/>
    <n v="5"/>
    <n v="10000"/>
    <n v="50000"/>
    <x v="1"/>
    <x v="0"/>
    <x v="0"/>
  </r>
  <r>
    <x v="108"/>
    <x v="85"/>
    <x v="0"/>
    <x v="9"/>
    <n v="3"/>
    <n v="5000"/>
    <n v="15000"/>
    <x v="3"/>
    <x v="2"/>
    <x v="2"/>
  </r>
  <r>
    <x v="109"/>
    <x v="5"/>
    <x v="4"/>
    <x v="0"/>
    <n v="4"/>
    <n v="12500"/>
    <n v="50000"/>
    <x v="1"/>
    <x v="2"/>
    <x v="2"/>
  </r>
  <r>
    <x v="110"/>
    <x v="12"/>
    <x v="0"/>
    <x v="5"/>
    <n v="3"/>
    <n v="5000"/>
    <n v="15000"/>
    <x v="1"/>
    <x v="4"/>
    <x v="4"/>
  </r>
  <r>
    <x v="111"/>
    <x v="28"/>
    <x v="5"/>
    <x v="3"/>
    <n v="4"/>
    <n v="15000"/>
    <n v="60000"/>
    <x v="1"/>
    <x v="2"/>
    <x v="2"/>
  </r>
  <r>
    <x v="112"/>
    <x v="77"/>
    <x v="1"/>
    <x v="4"/>
    <n v="2"/>
    <n v="12500"/>
    <n v="25000"/>
    <x v="2"/>
    <x v="0"/>
    <x v="0"/>
  </r>
  <r>
    <x v="113"/>
    <x v="86"/>
    <x v="3"/>
    <x v="1"/>
    <n v="3"/>
    <n v="20000"/>
    <n v="60000"/>
    <x v="3"/>
    <x v="1"/>
    <x v="1"/>
  </r>
  <r>
    <x v="114"/>
    <x v="87"/>
    <x v="4"/>
    <x v="2"/>
    <n v="4"/>
    <n v="10000"/>
    <n v="40000"/>
    <x v="2"/>
    <x v="1"/>
    <x v="1"/>
  </r>
  <r>
    <x v="115"/>
    <x v="88"/>
    <x v="10"/>
    <x v="0"/>
    <n v="3"/>
    <n v="12500"/>
    <n v="37500"/>
    <x v="3"/>
    <x v="2"/>
    <x v="2"/>
  </r>
  <r>
    <x v="116"/>
    <x v="89"/>
    <x v="7"/>
    <x v="3"/>
    <n v="3"/>
    <n v="15000"/>
    <n v="45000"/>
    <x v="0"/>
    <x v="3"/>
    <x v="3"/>
  </r>
  <r>
    <x v="117"/>
    <x v="90"/>
    <x v="6"/>
    <x v="7"/>
    <n v="2"/>
    <n v="10000"/>
    <n v="20000"/>
    <x v="3"/>
    <x v="1"/>
    <x v="1"/>
  </r>
  <r>
    <x v="118"/>
    <x v="91"/>
    <x v="8"/>
    <x v="8"/>
    <n v="1"/>
    <n v="12500"/>
    <n v="12500"/>
    <x v="2"/>
    <x v="3"/>
    <x v="3"/>
  </r>
  <r>
    <x v="119"/>
    <x v="92"/>
    <x v="5"/>
    <x v="1"/>
    <n v="3"/>
    <n v="5000"/>
    <n v="15000"/>
    <x v="0"/>
    <x v="4"/>
    <x v="4"/>
  </r>
  <r>
    <x v="120"/>
    <x v="93"/>
    <x v="2"/>
    <x v="4"/>
    <n v="4"/>
    <n v="10000"/>
    <n v="40000"/>
    <x v="0"/>
    <x v="1"/>
    <x v="1"/>
  </r>
  <r>
    <x v="121"/>
    <x v="94"/>
    <x v="2"/>
    <x v="6"/>
    <n v="4"/>
    <n v="10000"/>
    <n v="40000"/>
    <x v="0"/>
    <x v="0"/>
    <x v="0"/>
  </r>
  <r>
    <x v="122"/>
    <x v="95"/>
    <x v="9"/>
    <x v="7"/>
    <n v="3"/>
    <n v="15000"/>
    <n v="45000"/>
    <x v="0"/>
    <x v="1"/>
    <x v="1"/>
  </r>
  <r>
    <x v="123"/>
    <x v="50"/>
    <x v="10"/>
    <x v="7"/>
    <n v="4"/>
    <n v="15000"/>
    <n v="60000"/>
    <x v="0"/>
    <x v="2"/>
    <x v="2"/>
  </r>
  <r>
    <x v="124"/>
    <x v="96"/>
    <x v="5"/>
    <x v="3"/>
    <n v="3"/>
    <n v="10000"/>
    <n v="30000"/>
    <x v="3"/>
    <x v="2"/>
    <x v="2"/>
  </r>
  <r>
    <x v="125"/>
    <x v="12"/>
    <x v="6"/>
    <x v="1"/>
    <n v="3"/>
    <n v="5000"/>
    <n v="15000"/>
    <x v="3"/>
    <x v="4"/>
    <x v="4"/>
  </r>
  <r>
    <x v="126"/>
    <x v="97"/>
    <x v="1"/>
    <x v="9"/>
    <n v="4"/>
    <n v="15000"/>
    <n v="60000"/>
    <x v="3"/>
    <x v="3"/>
    <x v="3"/>
  </r>
  <r>
    <x v="127"/>
    <x v="98"/>
    <x v="8"/>
    <x v="3"/>
    <n v="4"/>
    <n v="5000"/>
    <n v="20000"/>
    <x v="0"/>
    <x v="3"/>
    <x v="3"/>
  </r>
  <r>
    <x v="128"/>
    <x v="88"/>
    <x v="10"/>
    <x v="2"/>
    <n v="3"/>
    <n v="12500"/>
    <n v="37500"/>
    <x v="3"/>
    <x v="2"/>
    <x v="2"/>
  </r>
  <r>
    <x v="129"/>
    <x v="99"/>
    <x v="2"/>
    <x v="4"/>
    <n v="4"/>
    <n v="5000"/>
    <n v="20000"/>
    <x v="0"/>
    <x v="4"/>
    <x v="4"/>
  </r>
  <r>
    <x v="130"/>
    <x v="100"/>
    <x v="5"/>
    <x v="8"/>
    <n v="5"/>
    <n v="5000"/>
    <n v="25000"/>
    <x v="0"/>
    <x v="0"/>
    <x v="0"/>
  </r>
  <r>
    <x v="131"/>
    <x v="26"/>
    <x v="7"/>
    <x v="4"/>
    <n v="3"/>
    <n v="5000"/>
    <n v="15000"/>
    <x v="1"/>
    <x v="2"/>
    <x v="2"/>
  </r>
  <r>
    <x v="132"/>
    <x v="87"/>
    <x v="8"/>
    <x v="6"/>
    <n v="2"/>
    <n v="10000"/>
    <n v="20000"/>
    <x v="1"/>
    <x v="1"/>
    <x v="1"/>
  </r>
  <r>
    <x v="133"/>
    <x v="38"/>
    <x v="2"/>
    <x v="2"/>
    <n v="3"/>
    <n v="20000"/>
    <n v="60000"/>
    <x v="0"/>
    <x v="3"/>
    <x v="0"/>
  </r>
  <r>
    <x v="134"/>
    <x v="101"/>
    <x v="4"/>
    <x v="6"/>
    <n v="3"/>
    <n v="15000"/>
    <n v="45000"/>
    <x v="3"/>
    <x v="4"/>
    <x v="4"/>
  </r>
  <r>
    <x v="135"/>
    <x v="43"/>
    <x v="7"/>
    <x v="9"/>
    <n v="1"/>
    <n v="12500"/>
    <n v="12500"/>
    <x v="3"/>
    <x v="2"/>
    <x v="2"/>
  </r>
  <r>
    <x v="136"/>
    <x v="102"/>
    <x v="10"/>
    <x v="9"/>
    <n v="1"/>
    <n v="10000"/>
    <n v="10000"/>
    <x v="1"/>
    <x v="2"/>
    <x v="2"/>
  </r>
  <r>
    <x v="137"/>
    <x v="103"/>
    <x v="7"/>
    <x v="9"/>
    <n v="4"/>
    <n v="15000"/>
    <n v="60000"/>
    <x v="3"/>
    <x v="0"/>
    <x v="0"/>
  </r>
  <r>
    <x v="138"/>
    <x v="104"/>
    <x v="3"/>
    <x v="0"/>
    <n v="3"/>
    <n v="10000"/>
    <n v="30000"/>
    <x v="2"/>
    <x v="3"/>
    <x v="1"/>
  </r>
  <r>
    <x v="139"/>
    <x v="105"/>
    <x v="8"/>
    <x v="6"/>
    <n v="4"/>
    <n v="15000"/>
    <n v="60000"/>
    <x v="0"/>
    <x v="2"/>
    <x v="2"/>
  </r>
  <r>
    <x v="140"/>
    <x v="106"/>
    <x v="6"/>
    <x v="9"/>
    <n v="2"/>
    <n v="5000"/>
    <n v="10000"/>
    <x v="0"/>
    <x v="2"/>
    <x v="2"/>
  </r>
  <r>
    <x v="141"/>
    <x v="107"/>
    <x v="2"/>
    <x v="9"/>
    <n v="3"/>
    <n v="20000"/>
    <n v="60000"/>
    <x v="1"/>
    <x v="0"/>
    <x v="0"/>
  </r>
  <r>
    <x v="142"/>
    <x v="108"/>
    <x v="0"/>
    <x v="6"/>
    <n v="3"/>
    <n v="5000"/>
    <n v="15000"/>
    <x v="2"/>
    <x v="4"/>
    <x v="4"/>
  </r>
  <r>
    <x v="143"/>
    <x v="109"/>
    <x v="6"/>
    <x v="3"/>
    <n v="2"/>
    <n v="10000"/>
    <n v="20000"/>
    <x v="1"/>
    <x v="4"/>
    <x v="4"/>
  </r>
  <r>
    <x v="144"/>
    <x v="110"/>
    <x v="9"/>
    <x v="9"/>
    <n v="4"/>
    <n v="10000"/>
    <n v="40000"/>
    <x v="3"/>
    <x v="1"/>
    <x v="1"/>
  </r>
  <r>
    <x v="145"/>
    <x v="48"/>
    <x v="3"/>
    <x v="2"/>
    <n v="3"/>
    <n v="15000"/>
    <n v="45000"/>
    <x v="0"/>
    <x v="1"/>
    <x v="1"/>
  </r>
  <r>
    <x v="146"/>
    <x v="111"/>
    <x v="1"/>
    <x v="2"/>
    <n v="2"/>
    <n v="15000"/>
    <n v="30000"/>
    <x v="0"/>
    <x v="4"/>
    <x v="4"/>
  </r>
  <r>
    <x v="147"/>
    <x v="112"/>
    <x v="6"/>
    <x v="4"/>
    <n v="3"/>
    <n v="10000"/>
    <n v="30000"/>
    <x v="2"/>
    <x v="1"/>
    <x v="1"/>
  </r>
  <r>
    <x v="148"/>
    <x v="113"/>
    <x v="2"/>
    <x v="8"/>
    <n v="3"/>
    <n v="12500"/>
    <n v="37500"/>
    <x v="1"/>
    <x v="3"/>
    <x v="3"/>
  </r>
  <r>
    <x v="149"/>
    <x v="47"/>
    <x v="7"/>
    <x v="8"/>
    <n v="3"/>
    <n v="5000"/>
    <n v="15000"/>
    <x v="2"/>
    <x v="4"/>
    <x v="4"/>
  </r>
  <r>
    <x v="150"/>
    <x v="114"/>
    <x v="10"/>
    <x v="2"/>
    <n v="4"/>
    <n v="20000"/>
    <n v="80000"/>
    <x v="0"/>
    <x v="4"/>
    <x v="4"/>
  </r>
  <r>
    <x v="151"/>
    <x v="115"/>
    <x v="1"/>
    <x v="1"/>
    <n v="3"/>
    <n v="15000"/>
    <n v="45000"/>
    <x v="1"/>
    <x v="4"/>
    <x v="4"/>
  </r>
  <r>
    <x v="152"/>
    <x v="116"/>
    <x v="8"/>
    <x v="8"/>
    <n v="4"/>
    <n v="10000"/>
    <n v="40000"/>
    <x v="2"/>
    <x v="1"/>
    <x v="1"/>
  </r>
  <r>
    <x v="153"/>
    <x v="67"/>
    <x v="1"/>
    <x v="7"/>
    <n v="1"/>
    <n v="20000"/>
    <n v="20000"/>
    <x v="3"/>
    <x v="0"/>
    <x v="0"/>
  </r>
  <r>
    <x v="154"/>
    <x v="96"/>
    <x v="5"/>
    <x v="9"/>
    <n v="5"/>
    <n v="5000"/>
    <n v="25000"/>
    <x v="3"/>
    <x v="0"/>
    <x v="0"/>
  </r>
  <r>
    <x v="155"/>
    <x v="117"/>
    <x v="7"/>
    <x v="6"/>
    <n v="5"/>
    <n v="15000"/>
    <n v="75000"/>
    <x v="3"/>
    <x v="1"/>
    <x v="1"/>
  </r>
  <r>
    <x v="156"/>
    <x v="68"/>
    <x v="1"/>
    <x v="5"/>
    <n v="3"/>
    <n v="12500"/>
    <n v="37500"/>
    <x v="2"/>
    <x v="3"/>
    <x v="0"/>
  </r>
  <r>
    <x v="157"/>
    <x v="79"/>
    <x v="10"/>
    <x v="4"/>
    <n v="4"/>
    <n v="10000"/>
    <n v="40000"/>
    <x v="0"/>
    <x v="4"/>
    <x v="4"/>
  </r>
  <r>
    <x v="158"/>
    <x v="118"/>
    <x v="4"/>
    <x v="2"/>
    <n v="5"/>
    <n v="20000"/>
    <n v="100000"/>
    <x v="2"/>
    <x v="2"/>
    <x v="2"/>
  </r>
  <r>
    <x v="159"/>
    <x v="119"/>
    <x v="10"/>
    <x v="7"/>
    <n v="5"/>
    <n v="20000"/>
    <n v="100000"/>
    <x v="0"/>
    <x v="3"/>
    <x v="3"/>
  </r>
  <r>
    <x v="160"/>
    <x v="120"/>
    <x v="4"/>
    <x v="3"/>
    <n v="1"/>
    <n v="15000"/>
    <n v="15000"/>
    <x v="1"/>
    <x v="0"/>
    <x v="0"/>
  </r>
  <r>
    <x v="161"/>
    <x v="107"/>
    <x v="1"/>
    <x v="2"/>
    <n v="3"/>
    <n v="10000"/>
    <n v="30000"/>
    <x v="0"/>
    <x v="1"/>
    <x v="1"/>
  </r>
  <r>
    <x v="162"/>
    <x v="121"/>
    <x v="7"/>
    <x v="4"/>
    <n v="3"/>
    <n v="15000"/>
    <n v="45000"/>
    <x v="2"/>
    <x v="1"/>
    <x v="1"/>
  </r>
  <r>
    <x v="163"/>
    <x v="122"/>
    <x v="7"/>
    <x v="9"/>
    <n v="3"/>
    <n v="10000"/>
    <n v="30000"/>
    <x v="3"/>
    <x v="4"/>
    <x v="4"/>
  </r>
  <r>
    <x v="164"/>
    <x v="123"/>
    <x v="4"/>
    <x v="4"/>
    <n v="4"/>
    <n v="20000"/>
    <n v="80000"/>
    <x v="0"/>
    <x v="4"/>
    <x v="4"/>
  </r>
  <r>
    <x v="165"/>
    <x v="124"/>
    <x v="5"/>
    <x v="3"/>
    <n v="2"/>
    <n v="12500"/>
    <n v="25000"/>
    <x v="2"/>
    <x v="1"/>
    <x v="1"/>
  </r>
  <r>
    <x v="166"/>
    <x v="114"/>
    <x v="8"/>
    <x v="5"/>
    <n v="3"/>
    <n v="20000"/>
    <n v="60000"/>
    <x v="0"/>
    <x v="4"/>
    <x v="4"/>
  </r>
  <r>
    <x v="167"/>
    <x v="12"/>
    <x v="7"/>
    <x v="1"/>
    <n v="4"/>
    <n v="12500"/>
    <n v="50000"/>
    <x v="1"/>
    <x v="2"/>
    <x v="2"/>
  </r>
  <r>
    <x v="168"/>
    <x v="122"/>
    <x v="3"/>
    <x v="8"/>
    <n v="5"/>
    <n v="5000"/>
    <n v="25000"/>
    <x v="2"/>
    <x v="2"/>
    <x v="2"/>
  </r>
  <r>
    <x v="169"/>
    <x v="24"/>
    <x v="0"/>
    <x v="0"/>
    <n v="3"/>
    <n v="10000"/>
    <n v="30000"/>
    <x v="3"/>
    <x v="4"/>
    <x v="4"/>
  </r>
  <r>
    <x v="170"/>
    <x v="12"/>
    <x v="3"/>
    <x v="5"/>
    <n v="4"/>
    <n v="15000"/>
    <n v="60000"/>
    <x v="1"/>
    <x v="2"/>
    <x v="2"/>
  </r>
  <r>
    <x v="171"/>
    <x v="116"/>
    <x v="10"/>
    <x v="3"/>
    <n v="4"/>
    <n v="12500"/>
    <n v="50000"/>
    <x v="2"/>
    <x v="4"/>
    <x v="4"/>
  </r>
  <r>
    <x v="172"/>
    <x v="49"/>
    <x v="3"/>
    <x v="1"/>
    <n v="4"/>
    <n v="10000"/>
    <n v="40000"/>
    <x v="2"/>
    <x v="3"/>
    <x v="3"/>
  </r>
  <r>
    <x v="173"/>
    <x v="125"/>
    <x v="7"/>
    <x v="2"/>
    <n v="3"/>
    <n v="15000"/>
    <n v="45000"/>
    <x v="3"/>
    <x v="1"/>
    <x v="1"/>
  </r>
  <r>
    <x v="174"/>
    <x v="126"/>
    <x v="10"/>
    <x v="0"/>
    <n v="5"/>
    <n v="20000"/>
    <n v="100000"/>
    <x v="2"/>
    <x v="3"/>
    <x v="3"/>
  </r>
  <r>
    <x v="175"/>
    <x v="127"/>
    <x v="7"/>
    <x v="6"/>
    <n v="5"/>
    <n v="20000"/>
    <n v="100000"/>
    <x v="0"/>
    <x v="1"/>
    <x v="1"/>
  </r>
  <r>
    <x v="176"/>
    <x v="128"/>
    <x v="9"/>
    <x v="8"/>
    <n v="1"/>
    <n v="15000"/>
    <n v="15000"/>
    <x v="2"/>
    <x v="3"/>
    <x v="3"/>
  </r>
  <r>
    <x v="177"/>
    <x v="129"/>
    <x v="9"/>
    <x v="4"/>
    <n v="1"/>
    <n v="5000"/>
    <n v="5000"/>
    <x v="1"/>
    <x v="4"/>
    <x v="4"/>
  </r>
  <r>
    <x v="178"/>
    <x v="98"/>
    <x v="3"/>
    <x v="5"/>
    <n v="4"/>
    <n v="12500"/>
    <n v="50000"/>
    <x v="3"/>
    <x v="3"/>
    <x v="3"/>
  </r>
  <r>
    <x v="179"/>
    <x v="33"/>
    <x v="4"/>
    <x v="5"/>
    <n v="5"/>
    <n v="10000"/>
    <n v="50000"/>
    <x v="0"/>
    <x v="3"/>
    <x v="3"/>
  </r>
  <r>
    <x v="180"/>
    <x v="130"/>
    <x v="2"/>
    <x v="3"/>
    <n v="4"/>
    <n v="15000"/>
    <n v="60000"/>
    <x v="2"/>
    <x v="0"/>
    <x v="0"/>
  </r>
  <r>
    <x v="181"/>
    <x v="131"/>
    <x v="10"/>
    <x v="3"/>
    <n v="1"/>
    <n v="5000"/>
    <n v="5000"/>
    <x v="1"/>
    <x v="2"/>
    <x v="2"/>
  </r>
  <r>
    <x v="182"/>
    <x v="35"/>
    <x v="10"/>
    <x v="3"/>
    <n v="1"/>
    <n v="10000"/>
    <n v="10000"/>
    <x v="2"/>
    <x v="0"/>
    <x v="0"/>
  </r>
  <r>
    <x v="183"/>
    <x v="132"/>
    <x v="6"/>
    <x v="4"/>
    <n v="2"/>
    <n v="20000"/>
    <n v="40000"/>
    <x v="2"/>
    <x v="3"/>
    <x v="3"/>
  </r>
  <r>
    <x v="184"/>
    <x v="133"/>
    <x v="8"/>
    <x v="7"/>
    <n v="3"/>
    <n v="10000"/>
    <n v="30000"/>
    <x v="3"/>
    <x v="1"/>
    <x v="1"/>
  </r>
  <r>
    <x v="185"/>
    <x v="131"/>
    <x v="4"/>
    <x v="3"/>
    <n v="3"/>
    <n v="12500"/>
    <n v="37500"/>
    <x v="0"/>
    <x v="2"/>
    <x v="2"/>
  </r>
  <r>
    <x v="186"/>
    <x v="134"/>
    <x v="6"/>
    <x v="6"/>
    <n v="3"/>
    <n v="5000"/>
    <n v="15000"/>
    <x v="2"/>
    <x v="3"/>
    <x v="3"/>
  </r>
  <r>
    <x v="187"/>
    <x v="135"/>
    <x v="1"/>
    <x v="2"/>
    <n v="2"/>
    <n v="10000"/>
    <n v="20000"/>
    <x v="0"/>
    <x v="2"/>
    <x v="2"/>
  </r>
  <r>
    <x v="188"/>
    <x v="22"/>
    <x v="8"/>
    <x v="2"/>
    <n v="5"/>
    <n v="20000"/>
    <n v="100000"/>
    <x v="1"/>
    <x v="2"/>
    <x v="2"/>
  </r>
  <r>
    <x v="189"/>
    <x v="56"/>
    <x v="0"/>
    <x v="7"/>
    <n v="3"/>
    <n v="15000"/>
    <n v="45000"/>
    <x v="3"/>
    <x v="4"/>
    <x v="4"/>
  </r>
  <r>
    <x v="190"/>
    <x v="38"/>
    <x v="0"/>
    <x v="6"/>
    <n v="3"/>
    <n v="12500"/>
    <n v="37500"/>
    <x v="3"/>
    <x v="2"/>
    <x v="2"/>
  </r>
  <r>
    <x v="191"/>
    <x v="54"/>
    <x v="9"/>
    <x v="7"/>
    <n v="5"/>
    <n v="5000"/>
    <n v="25000"/>
    <x v="1"/>
    <x v="3"/>
    <x v="3"/>
  </r>
  <r>
    <x v="192"/>
    <x v="128"/>
    <x v="4"/>
    <x v="6"/>
    <n v="1"/>
    <n v="15000"/>
    <n v="15000"/>
    <x v="3"/>
    <x v="3"/>
    <x v="2"/>
  </r>
  <r>
    <x v="193"/>
    <x v="88"/>
    <x v="2"/>
    <x v="7"/>
    <n v="5"/>
    <n v="12500"/>
    <n v="62500"/>
    <x v="3"/>
    <x v="0"/>
    <x v="0"/>
  </r>
  <r>
    <x v="194"/>
    <x v="12"/>
    <x v="10"/>
    <x v="9"/>
    <n v="4"/>
    <n v="5000"/>
    <n v="20000"/>
    <x v="3"/>
    <x v="2"/>
    <x v="2"/>
  </r>
  <r>
    <x v="195"/>
    <x v="106"/>
    <x v="7"/>
    <x v="7"/>
    <n v="1"/>
    <n v="20000"/>
    <n v="20000"/>
    <x v="3"/>
    <x v="1"/>
    <x v="1"/>
  </r>
  <r>
    <x v="196"/>
    <x v="43"/>
    <x v="10"/>
    <x v="8"/>
    <n v="1"/>
    <n v="15000"/>
    <n v="15000"/>
    <x v="0"/>
    <x v="0"/>
    <x v="0"/>
  </r>
  <r>
    <x v="197"/>
    <x v="16"/>
    <x v="10"/>
    <x v="7"/>
    <n v="2"/>
    <n v="12500"/>
    <n v="25000"/>
    <x v="1"/>
    <x v="0"/>
    <x v="0"/>
  </r>
  <r>
    <x v="198"/>
    <x v="136"/>
    <x v="0"/>
    <x v="3"/>
    <n v="5"/>
    <n v="12500"/>
    <n v="62500"/>
    <x v="2"/>
    <x v="2"/>
    <x v="2"/>
  </r>
  <r>
    <x v="199"/>
    <x v="137"/>
    <x v="10"/>
    <x v="5"/>
    <n v="2"/>
    <n v="12500"/>
    <n v="25000"/>
    <x v="2"/>
    <x v="1"/>
    <x v="1"/>
  </r>
  <r>
    <x v="200"/>
    <x v="48"/>
    <x v="0"/>
    <x v="2"/>
    <n v="2"/>
    <n v="15000"/>
    <n v="30000"/>
    <x v="3"/>
    <x v="2"/>
    <x v="2"/>
  </r>
  <r>
    <x v="201"/>
    <x v="138"/>
    <x v="9"/>
    <x v="0"/>
    <n v="1"/>
    <n v="15000"/>
    <n v="15000"/>
    <x v="3"/>
    <x v="3"/>
    <x v="0"/>
  </r>
  <r>
    <x v="202"/>
    <x v="12"/>
    <x v="6"/>
    <x v="0"/>
    <n v="2"/>
    <n v="5000"/>
    <n v="10000"/>
    <x v="3"/>
    <x v="3"/>
    <x v="2"/>
  </r>
  <r>
    <x v="203"/>
    <x v="139"/>
    <x v="2"/>
    <x v="6"/>
    <n v="4"/>
    <n v="5000"/>
    <n v="20000"/>
    <x v="3"/>
    <x v="2"/>
    <x v="2"/>
  </r>
  <r>
    <x v="204"/>
    <x v="38"/>
    <x v="7"/>
    <x v="5"/>
    <n v="2"/>
    <n v="10000"/>
    <n v="20000"/>
    <x v="2"/>
    <x v="4"/>
    <x v="4"/>
  </r>
  <r>
    <x v="205"/>
    <x v="140"/>
    <x v="10"/>
    <x v="9"/>
    <n v="2"/>
    <n v="10000"/>
    <n v="20000"/>
    <x v="3"/>
    <x v="1"/>
    <x v="1"/>
  </r>
  <r>
    <x v="206"/>
    <x v="141"/>
    <x v="0"/>
    <x v="5"/>
    <n v="3"/>
    <n v="20000"/>
    <n v="60000"/>
    <x v="3"/>
    <x v="1"/>
    <x v="1"/>
  </r>
  <r>
    <x v="207"/>
    <x v="142"/>
    <x v="1"/>
    <x v="6"/>
    <n v="3"/>
    <n v="10000"/>
    <n v="30000"/>
    <x v="3"/>
    <x v="1"/>
    <x v="1"/>
  </r>
  <r>
    <x v="208"/>
    <x v="143"/>
    <x v="1"/>
    <x v="8"/>
    <n v="5"/>
    <n v="10000"/>
    <n v="50000"/>
    <x v="1"/>
    <x v="2"/>
    <x v="2"/>
  </r>
  <r>
    <x v="209"/>
    <x v="144"/>
    <x v="3"/>
    <x v="2"/>
    <n v="2"/>
    <n v="10000"/>
    <n v="20000"/>
    <x v="0"/>
    <x v="4"/>
    <x v="4"/>
  </r>
  <r>
    <x v="210"/>
    <x v="7"/>
    <x v="4"/>
    <x v="5"/>
    <n v="5"/>
    <n v="15000"/>
    <n v="75000"/>
    <x v="3"/>
    <x v="1"/>
    <x v="1"/>
  </r>
  <r>
    <x v="211"/>
    <x v="26"/>
    <x v="3"/>
    <x v="0"/>
    <n v="2"/>
    <n v="10000"/>
    <n v="20000"/>
    <x v="2"/>
    <x v="0"/>
    <x v="0"/>
  </r>
  <r>
    <x v="212"/>
    <x v="43"/>
    <x v="6"/>
    <x v="5"/>
    <n v="1"/>
    <n v="5000"/>
    <n v="5000"/>
    <x v="2"/>
    <x v="0"/>
    <x v="0"/>
  </r>
  <r>
    <x v="213"/>
    <x v="71"/>
    <x v="7"/>
    <x v="8"/>
    <n v="3"/>
    <n v="15000"/>
    <n v="45000"/>
    <x v="2"/>
    <x v="3"/>
    <x v="3"/>
  </r>
  <r>
    <x v="214"/>
    <x v="12"/>
    <x v="7"/>
    <x v="6"/>
    <n v="3"/>
    <n v="15000"/>
    <n v="45000"/>
    <x v="0"/>
    <x v="1"/>
    <x v="1"/>
  </r>
  <r>
    <x v="215"/>
    <x v="145"/>
    <x v="1"/>
    <x v="0"/>
    <n v="1"/>
    <n v="12500"/>
    <n v="12500"/>
    <x v="1"/>
    <x v="0"/>
    <x v="0"/>
  </r>
  <r>
    <x v="216"/>
    <x v="12"/>
    <x v="4"/>
    <x v="1"/>
    <n v="2"/>
    <n v="10000"/>
    <n v="20000"/>
    <x v="3"/>
    <x v="2"/>
    <x v="2"/>
  </r>
  <r>
    <x v="217"/>
    <x v="94"/>
    <x v="2"/>
    <x v="3"/>
    <n v="3"/>
    <n v="12500"/>
    <n v="37500"/>
    <x v="1"/>
    <x v="1"/>
    <x v="1"/>
  </r>
  <r>
    <x v="218"/>
    <x v="146"/>
    <x v="9"/>
    <x v="2"/>
    <n v="5"/>
    <n v="10000"/>
    <n v="50000"/>
    <x v="3"/>
    <x v="1"/>
    <x v="1"/>
  </r>
  <r>
    <x v="219"/>
    <x v="147"/>
    <x v="2"/>
    <x v="9"/>
    <n v="5"/>
    <n v="15000"/>
    <n v="75000"/>
    <x v="0"/>
    <x v="4"/>
    <x v="4"/>
  </r>
  <r>
    <x v="220"/>
    <x v="126"/>
    <x v="3"/>
    <x v="1"/>
    <n v="5"/>
    <n v="20000"/>
    <n v="100000"/>
    <x v="0"/>
    <x v="2"/>
    <x v="2"/>
  </r>
  <r>
    <x v="221"/>
    <x v="148"/>
    <x v="4"/>
    <x v="1"/>
    <n v="2"/>
    <n v="15000"/>
    <n v="30000"/>
    <x v="1"/>
    <x v="4"/>
    <x v="4"/>
  </r>
  <r>
    <x v="222"/>
    <x v="144"/>
    <x v="2"/>
    <x v="2"/>
    <n v="4"/>
    <n v="10000"/>
    <n v="40000"/>
    <x v="3"/>
    <x v="0"/>
    <x v="0"/>
  </r>
  <r>
    <x v="223"/>
    <x v="148"/>
    <x v="6"/>
    <x v="1"/>
    <n v="4"/>
    <n v="15000"/>
    <n v="60000"/>
    <x v="3"/>
    <x v="1"/>
    <x v="1"/>
  </r>
  <r>
    <x v="224"/>
    <x v="101"/>
    <x v="5"/>
    <x v="2"/>
    <n v="5"/>
    <n v="10000"/>
    <n v="50000"/>
    <x v="1"/>
    <x v="0"/>
    <x v="0"/>
  </r>
  <r>
    <x v="225"/>
    <x v="135"/>
    <x v="3"/>
    <x v="3"/>
    <n v="2"/>
    <n v="12500"/>
    <n v="25000"/>
    <x v="2"/>
    <x v="1"/>
    <x v="1"/>
  </r>
  <r>
    <x v="226"/>
    <x v="149"/>
    <x v="5"/>
    <x v="6"/>
    <n v="5"/>
    <n v="15000"/>
    <n v="75000"/>
    <x v="0"/>
    <x v="4"/>
    <x v="4"/>
  </r>
  <r>
    <x v="227"/>
    <x v="150"/>
    <x v="1"/>
    <x v="1"/>
    <n v="4"/>
    <n v="5000"/>
    <n v="20000"/>
    <x v="0"/>
    <x v="0"/>
    <x v="0"/>
  </r>
  <r>
    <x v="228"/>
    <x v="151"/>
    <x v="7"/>
    <x v="8"/>
    <n v="3"/>
    <n v="15000"/>
    <n v="45000"/>
    <x v="3"/>
    <x v="2"/>
    <x v="2"/>
  </r>
  <r>
    <x v="229"/>
    <x v="152"/>
    <x v="7"/>
    <x v="6"/>
    <n v="4"/>
    <n v="20000"/>
    <n v="80000"/>
    <x v="1"/>
    <x v="3"/>
    <x v="3"/>
  </r>
  <r>
    <x v="230"/>
    <x v="153"/>
    <x v="6"/>
    <x v="3"/>
    <n v="4"/>
    <n v="15000"/>
    <n v="60000"/>
    <x v="2"/>
    <x v="4"/>
    <x v="4"/>
  </r>
  <r>
    <x v="231"/>
    <x v="154"/>
    <x v="0"/>
    <x v="7"/>
    <n v="1"/>
    <n v="10000"/>
    <n v="10000"/>
    <x v="1"/>
    <x v="3"/>
    <x v="3"/>
  </r>
  <r>
    <x v="232"/>
    <x v="106"/>
    <x v="5"/>
    <x v="9"/>
    <n v="2"/>
    <n v="12500"/>
    <n v="25000"/>
    <x v="1"/>
    <x v="4"/>
    <x v="4"/>
  </r>
  <r>
    <x v="233"/>
    <x v="12"/>
    <x v="1"/>
    <x v="3"/>
    <n v="4"/>
    <n v="10000"/>
    <n v="40000"/>
    <x v="1"/>
    <x v="3"/>
    <x v="3"/>
  </r>
  <r>
    <x v="234"/>
    <x v="155"/>
    <x v="2"/>
    <x v="6"/>
    <n v="1"/>
    <n v="12500"/>
    <n v="12500"/>
    <x v="0"/>
    <x v="2"/>
    <x v="2"/>
  </r>
  <r>
    <x v="235"/>
    <x v="156"/>
    <x v="6"/>
    <x v="1"/>
    <n v="4"/>
    <n v="12500"/>
    <n v="50000"/>
    <x v="0"/>
    <x v="3"/>
    <x v="3"/>
  </r>
  <r>
    <x v="236"/>
    <x v="157"/>
    <x v="2"/>
    <x v="5"/>
    <n v="5"/>
    <n v="10000"/>
    <n v="50000"/>
    <x v="0"/>
    <x v="3"/>
    <x v="3"/>
  </r>
  <r>
    <x v="237"/>
    <x v="158"/>
    <x v="10"/>
    <x v="3"/>
    <n v="3"/>
    <n v="10000"/>
    <n v="30000"/>
    <x v="0"/>
    <x v="1"/>
    <x v="1"/>
  </r>
  <r>
    <x v="238"/>
    <x v="159"/>
    <x v="5"/>
    <x v="9"/>
    <n v="2"/>
    <n v="15000"/>
    <n v="30000"/>
    <x v="0"/>
    <x v="2"/>
    <x v="2"/>
  </r>
  <r>
    <x v="239"/>
    <x v="131"/>
    <x v="8"/>
    <x v="2"/>
    <n v="3"/>
    <n v="15000"/>
    <n v="45000"/>
    <x v="1"/>
    <x v="4"/>
    <x v="4"/>
  </r>
  <r>
    <x v="240"/>
    <x v="160"/>
    <x v="1"/>
    <x v="0"/>
    <n v="1"/>
    <n v="15000"/>
    <n v="15000"/>
    <x v="1"/>
    <x v="4"/>
    <x v="4"/>
  </r>
  <r>
    <x v="241"/>
    <x v="161"/>
    <x v="6"/>
    <x v="5"/>
    <n v="4"/>
    <n v="10000"/>
    <n v="40000"/>
    <x v="1"/>
    <x v="1"/>
    <x v="1"/>
  </r>
  <r>
    <x v="242"/>
    <x v="60"/>
    <x v="9"/>
    <x v="4"/>
    <n v="3"/>
    <n v="20000"/>
    <n v="60000"/>
    <x v="1"/>
    <x v="4"/>
    <x v="4"/>
  </r>
  <r>
    <x v="243"/>
    <x v="72"/>
    <x v="4"/>
    <x v="8"/>
    <n v="5"/>
    <n v="5000"/>
    <n v="25000"/>
    <x v="0"/>
    <x v="3"/>
    <x v="3"/>
  </r>
  <r>
    <x v="244"/>
    <x v="162"/>
    <x v="4"/>
    <x v="1"/>
    <n v="3"/>
    <n v="10000"/>
    <n v="30000"/>
    <x v="2"/>
    <x v="3"/>
    <x v="3"/>
  </r>
  <r>
    <x v="245"/>
    <x v="163"/>
    <x v="7"/>
    <x v="0"/>
    <n v="4"/>
    <n v="20000"/>
    <n v="80000"/>
    <x v="2"/>
    <x v="3"/>
    <x v="3"/>
  </r>
  <r>
    <x v="246"/>
    <x v="164"/>
    <x v="4"/>
    <x v="0"/>
    <n v="2"/>
    <n v="10000"/>
    <n v="20000"/>
    <x v="1"/>
    <x v="3"/>
    <x v="3"/>
  </r>
  <r>
    <x v="247"/>
    <x v="165"/>
    <x v="8"/>
    <x v="4"/>
    <n v="3"/>
    <n v="10000"/>
    <n v="30000"/>
    <x v="3"/>
    <x v="0"/>
    <x v="0"/>
  </r>
  <r>
    <x v="248"/>
    <x v="166"/>
    <x v="4"/>
    <x v="4"/>
    <n v="3"/>
    <n v="5000"/>
    <n v="15000"/>
    <x v="0"/>
    <x v="1"/>
    <x v="1"/>
  </r>
  <r>
    <x v="249"/>
    <x v="167"/>
    <x v="5"/>
    <x v="0"/>
    <n v="5"/>
    <n v="20000"/>
    <n v="100000"/>
    <x v="2"/>
    <x v="0"/>
    <x v="0"/>
  </r>
  <r>
    <x v="250"/>
    <x v="12"/>
    <x v="9"/>
    <x v="3"/>
    <n v="3"/>
    <n v="15000"/>
    <n v="45000"/>
    <x v="0"/>
    <x v="3"/>
    <x v="3"/>
  </r>
  <r>
    <x v="251"/>
    <x v="168"/>
    <x v="1"/>
    <x v="7"/>
    <n v="3"/>
    <n v="20000"/>
    <n v="60000"/>
    <x v="2"/>
    <x v="3"/>
    <x v="3"/>
  </r>
  <r>
    <x v="252"/>
    <x v="169"/>
    <x v="7"/>
    <x v="9"/>
    <n v="1"/>
    <n v="5000"/>
    <n v="5000"/>
    <x v="3"/>
    <x v="4"/>
    <x v="4"/>
  </r>
  <r>
    <x v="253"/>
    <x v="86"/>
    <x v="5"/>
    <x v="8"/>
    <n v="5"/>
    <n v="5000"/>
    <n v="25000"/>
    <x v="0"/>
    <x v="0"/>
    <x v="0"/>
  </r>
  <r>
    <x v="254"/>
    <x v="61"/>
    <x v="10"/>
    <x v="2"/>
    <n v="3"/>
    <n v="10000"/>
    <n v="30000"/>
    <x v="0"/>
    <x v="0"/>
    <x v="0"/>
  </r>
  <r>
    <x v="255"/>
    <x v="12"/>
    <x v="2"/>
    <x v="3"/>
    <n v="4"/>
    <n v="15000"/>
    <n v="60000"/>
    <x v="2"/>
    <x v="3"/>
    <x v="3"/>
  </r>
  <r>
    <x v="256"/>
    <x v="167"/>
    <x v="6"/>
    <x v="1"/>
    <n v="1"/>
    <n v="10000"/>
    <n v="10000"/>
    <x v="2"/>
    <x v="2"/>
    <x v="2"/>
  </r>
  <r>
    <x v="257"/>
    <x v="78"/>
    <x v="2"/>
    <x v="4"/>
    <n v="3"/>
    <n v="15000"/>
    <n v="45000"/>
    <x v="1"/>
    <x v="3"/>
    <x v="2"/>
  </r>
  <r>
    <x v="258"/>
    <x v="170"/>
    <x v="10"/>
    <x v="3"/>
    <n v="4"/>
    <n v="15000"/>
    <n v="60000"/>
    <x v="1"/>
    <x v="3"/>
    <x v="1"/>
  </r>
  <r>
    <x v="259"/>
    <x v="171"/>
    <x v="7"/>
    <x v="1"/>
    <n v="1"/>
    <n v="12500"/>
    <n v="12500"/>
    <x v="1"/>
    <x v="3"/>
    <x v="3"/>
  </r>
  <r>
    <x v="260"/>
    <x v="172"/>
    <x v="5"/>
    <x v="5"/>
    <n v="2"/>
    <n v="15000"/>
    <n v="30000"/>
    <x v="0"/>
    <x v="4"/>
    <x v="4"/>
  </r>
  <r>
    <x v="261"/>
    <x v="100"/>
    <x v="9"/>
    <x v="5"/>
    <n v="5"/>
    <n v="20000"/>
    <n v="100000"/>
    <x v="1"/>
    <x v="4"/>
    <x v="4"/>
  </r>
  <r>
    <x v="262"/>
    <x v="173"/>
    <x v="6"/>
    <x v="7"/>
    <n v="4"/>
    <n v="12500"/>
    <n v="50000"/>
    <x v="2"/>
    <x v="2"/>
    <x v="2"/>
  </r>
  <r>
    <x v="263"/>
    <x v="174"/>
    <x v="7"/>
    <x v="6"/>
    <n v="5"/>
    <n v="10000"/>
    <n v="50000"/>
    <x v="2"/>
    <x v="3"/>
    <x v="3"/>
  </r>
  <r>
    <x v="264"/>
    <x v="16"/>
    <x v="10"/>
    <x v="3"/>
    <n v="3"/>
    <n v="15000"/>
    <n v="45000"/>
    <x v="1"/>
    <x v="0"/>
    <x v="0"/>
  </r>
  <r>
    <x v="265"/>
    <x v="175"/>
    <x v="4"/>
    <x v="3"/>
    <n v="5"/>
    <n v="15000"/>
    <n v="75000"/>
    <x v="2"/>
    <x v="1"/>
    <x v="1"/>
  </r>
  <r>
    <x v="266"/>
    <x v="176"/>
    <x v="4"/>
    <x v="1"/>
    <n v="3"/>
    <n v="10000"/>
    <n v="30000"/>
    <x v="2"/>
    <x v="3"/>
    <x v="3"/>
  </r>
  <r>
    <x v="267"/>
    <x v="19"/>
    <x v="2"/>
    <x v="0"/>
    <n v="3"/>
    <n v="10000"/>
    <n v="30000"/>
    <x v="3"/>
    <x v="1"/>
    <x v="1"/>
  </r>
  <r>
    <x v="268"/>
    <x v="0"/>
    <x v="3"/>
    <x v="2"/>
    <n v="3"/>
    <n v="15000"/>
    <n v="45000"/>
    <x v="2"/>
    <x v="0"/>
    <x v="0"/>
  </r>
  <r>
    <x v="269"/>
    <x v="177"/>
    <x v="10"/>
    <x v="8"/>
    <n v="4"/>
    <n v="12500"/>
    <n v="50000"/>
    <x v="1"/>
    <x v="0"/>
    <x v="0"/>
  </r>
  <r>
    <x v="270"/>
    <x v="67"/>
    <x v="8"/>
    <x v="1"/>
    <n v="3"/>
    <n v="10000"/>
    <n v="30000"/>
    <x v="0"/>
    <x v="4"/>
    <x v="4"/>
  </r>
  <r>
    <x v="271"/>
    <x v="168"/>
    <x v="8"/>
    <x v="2"/>
    <n v="1"/>
    <n v="15000"/>
    <n v="15000"/>
    <x v="0"/>
    <x v="3"/>
    <x v="3"/>
  </r>
  <r>
    <x v="272"/>
    <x v="178"/>
    <x v="7"/>
    <x v="5"/>
    <n v="4"/>
    <n v="20000"/>
    <n v="80000"/>
    <x v="3"/>
    <x v="3"/>
    <x v="3"/>
  </r>
  <r>
    <x v="273"/>
    <x v="179"/>
    <x v="8"/>
    <x v="9"/>
    <n v="1"/>
    <n v="15000"/>
    <n v="15000"/>
    <x v="1"/>
    <x v="3"/>
    <x v="3"/>
  </r>
  <r>
    <x v="274"/>
    <x v="180"/>
    <x v="3"/>
    <x v="6"/>
    <n v="5"/>
    <n v="15000"/>
    <n v="75000"/>
    <x v="1"/>
    <x v="2"/>
    <x v="2"/>
  </r>
  <r>
    <x v="275"/>
    <x v="181"/>
    <x v="5"/>
    <x v="5"/>
    <n v="3"/>
    <n v="15000"/>
    <n v="45000"/>
    <x v="2"/>
    <x v="4"/>
    <x v="4"/>
  </r>
  <r>
    <x v="276"/>
    <x v="182"/>
    <x v="0"/>
    <x v="8"/>
    <n v="4"/>
    <n v="10000"/>
    <n v="40000"/>
    <x v="1"/>
    <x v="0"/>
    <x v="0"/>
  </r>
  <r>
    <x v="277"/>
    <x v="160"/>
    <x v="8"/>
    <x v="2"/>
    <n v="3"/>
    <n v="15000"/>
    <n v="45000"/>
    <x v="3"/>
    <x v="0"/>
    <x v="0"/>
  </r>
  <r>
    <x v="278"/>
    <x v="183"/>
    <x v="3"/>
    <x v="9"/>
    <n v="5"/>
    <n v="5000"/>
    <n v="25000"/>
    <x v="1"/>
    <x v="3"/>
    <x v="3"/>
  </r>
  <r>
    <x v="279"/>
    <x v="184"/>
    <x v="1"/>
    <x v="2"/>
    <n v="4"/>
    <n v="15000"/>
    <n v="60000"/>
    <x v="3"/>
    <x v="1"/>
    <x v="1"/>
  </r>
  <r>
    <x v="280"/>
    <x v="12"/>
    <x v="0"/>
    <x v="8"/>
    <n v="3"/>
    <n v="15000"/>
    <n v="45000"/>
    <x v="1"/>
    <x v="2"/>
    <x v="2"/>
  </r>
  <r>
    <x v="281"/>
    <x v="185"/>
    <x v="5"/>
    <x v="5"/>
    <n v="2"/>
    <n v="12500"/>
    <n v="25000"/>
    <x v="0"/>
    <x v="1"/>
    <x v="1"/>
  </r>
  <r>
    <x v="282"/>
    <x v="186"/>
    <x v="10"/>
    <x v="6"/>
    <n v="3"/>
    <n v="15000"/>
    <n v="45000"/>
    <x v="1"/>
    <x v="1"/>
    <x v="1"/>
  </r>
  <r>
    <x v="283"/>
    <x v="187"/>
    <x v="8"/>
    <x v="0"/>
    <n v="5"/>
    <n v="12500"/>
    <n v="62500"/>
    <x v="2"/>
    <x v="1"/>
    <x v="1"/>
  </r>
  <r>
    <x v="284"/>
    <x v="90"/>
    <x v="9"/>
    <x v="9"/>
    <n v="4"/>
    <n v="10000"/>
    <n v="40000"/>
    <x v="3"/>
    <x v="3"/>
    <x v="3"/>
  </r>
  <r>
    <x v="285"/>
    <x v="188"/>
    <x v="7"/>
    <x v="7"/>
    <n v="3"/>
    <n v="12500"/>
    <n v="37500"/>
    <x v="2"/>
    <x v="4"/>
    <x v="4"/>
  </r>
  <r>
    <x v="286"/>
    <x v="189"/>
    <x v="7"/>
    <x v="6"/>
    <n v="3"/>
    <n v="10000"/>
    <n v="30000"/>
    <x v="1"/>
    <x v="0"/>
    <x v="0"/>
  </r>
  <r>
    <x v="287"/>
    <x v="12"/>
    <x v="6"/>
    <x v="4"/>
    <n v="2"/>
    <n v="5000"/>
    <n v="10000"/>
    <x v="3"/>
    <x v="0"/>
    <x v="0"/>
  </r>
  <r>
    <x v="288"/>
    <x v="12"/>
    <x v="8"/>
    <x v="2"/>
    <n v="1"/>
    <n v="15000"/>
    <n v="15000"/>
    <x v="0"/>
    <x v="4"/>
    <x v="4"/>
  </r>
  <r>
    <x v="289"/>
    <x v="188"/>
    <x v="6"/>
    <x v="2"/>
    <n v="5"/>
    <n v="20000"/>
    <n v="100000"/>
    <x v="3"/>
    <x v="1"/>
    <x v="1"/>
  </r>
  <r>
    <x v="290"/>
    <x v="190"/>
    <x v="3"/>
    <x v="7"/>
    <n v="4"/>
    <n v="5000"/>
    <n v="20000"/>
    <x v="0"/>
    <x v="0"/>
    <x v="0"/>
  </r>
  <r>
    <x v="291"/>
    <x v="191"/>
    <x v="4"/>
    <x v="7"/>
    <n v="4"/>
    <n v="10000"/>
    <n v="40000"/>
    <x v="0"/>
    <x v="1"/>
    <x v="1"/>
  </r>
  <r>
    <x v="292"/>
    <x v="192"/>
    <x v="1"/>
    <x v="5"/>
    <n v="4"/>
    <n v="12500"/>
    <n v="50000"/>
    <x v="3"/>
    <x v="4"/>
    <x v="4"/>
  </r>
  <r>
    <x v="293"/>
    <x v="193"/>
    <x v="3"/>
    <x v="6"/>
    <n v="5"/>
    <n v="10000"/>
    <n v="50000"/>
    <x v="2"/>
    <x v="4"/>
    <x v="4"/>
  </r>
  <r>
    <x v="294"/>
    <x v="22"/>
    <x v="10"/>
    <x v="9"/>
    <n v="2"/>
    <n v="10000"/>
    <n v="20000"/>
    <x v="0"/>
    <x v="3"/>
    <x v="3"/>
  </r>
  <r>
    <x v="295"/>
    <x v="103"/>
    <x v="10"/>
    <x v="9"/>
    <n v="4"/>
    <n v="20000"/>
    <n v="80000"/>
    <x v="1"/>
    <x v="1"/>
    <x v="1"/>
  </r>
  <r>
    <x v="296"/>
    <x v="27"/>
    <x v="2"/>
    <x v="6"/>
    <n v="5"/>
    <n v="15000"/>
    <n v="75000"/>
    <x v="0"/>
    <x v="4"/>
    <x v="4"/>
  </r>
  <r>
    <x v="297"/>
    <x v="120"/>
    <x v="5"/>
    <x v="6"/>
    <n v="3"/>
    <n v="5000"/>
    <n v="15000"/>
    <x v="2"/>
    <x v="0"/>
    <x v="0"/>
  </r>
  <r>
    <x v="298"/>
    <x v="12"/>
    <x v="1"/>
    <x v="2"/>
    <n v="1"/>
    <n v="12500"/>
    <n v="12500"/>
    <x v="1"/>
    <x v="2"/>
    <x v="2"/>
  </r>
  <r>
    <x v="299"/>
    <x v="157"/>
    <x v="8"/>
    <x v="1"/>
    <n v="2"/>
    <n v="15000"/>
    <n v="30000"/>
    <x v="3"/>
    <x v="0"/>
    <x v="0"/>
  </r>
  <r>
    <x v="300"/>
    <x v="194"/>
    <x v="10"/>
    <x v="7"/>
    <n v="1"/>
    <n v="20000"/>
    <n v="20000"/>
    <x v="0"/>
    <x v="0"/>
    <x v="0"/>
  </r>
  <r>
    <x v="301"/>
    <x v="62"/>
    <x v="4"/>
    <x v="5"/>
    <n v="4"/>
    <n v="20000"/>
    <n v="80000"/>
    <x v="3"/>
    <x v="3"/>
    <x v="3"/>
  </r>
  <r>
    <x v="302"/>
    <x v="12"/>
    <x v="8"/>
    <x v="3"/>
    <n v="1"/>
    <n v="10000"/>
    <n v="10000"/>
    <x v="0"/>
    <x v="0"/>
    <x v="0"/>
  </r>
  <r>
    <x v="303"/>
    <x v="195"/>
    <x v="3"/>
    <x v="9"/>
    <n v="3"/>
    <n v="20000"/>
    <n v="60000"/>
    <x v="2"/>
    <x v="2"/>
    <x v="2"/>
  </r>
  <r>
    <x v="304"/>
    <x v="12"/>
    <x v="4"/>
    <x v="7"/>
    <n v="2"/>
    <n v="10000"/>
    <n v="20000"/>
    <x v="0"/>
    <x v="0"/>
    <x v="0"/>
  </r>
  <r>
    <x v="305"/>
    <x v="0"/>
    <x v="3"/>
    <x v="2"/>
    <n v="5"/>
    <n v="15000"/>
    <n v="75000"/>
    <x v="1"/>
    <x v="3"/>
    <x v="3"/>
  </r>
  <r>
    <x v="306"/>
    <x v="79"/>
    <x v="9"/>
    <x v="1"/>
    <n v="2"/>
    <n v="10000"/>
    <n v="20000"/>
    <x v="1"/>
    <x v="4"/>
    <x v="4"/>
  </r>
  <r>
    <x v="307"/>
    <x v="196"/>
    <x v="2"/>
    <x v="4"/>
    <n v="3"/>
    <n v="15000"/>
    <n v="45000"/>
    <x v="2"/>
    <x v="3"/>
    <x v="3"/>
  </r>
  <r>
    <x v="308"/>
    <x v="74"/>
    <x v="7"/>
    <x v="5"/>
    <n v="3"/>
    <n v="10000"/>
    <n v="30000"/>
    <x v="3"/>
    <x v="0"/>
    <x v="0"/>
  </r>
  <r>
    <x v="309"/>
    <x v="12"/>
    <x v="3"/>
    <x v="0"/>
    <n v="5"/>
    <n v="5000"/>
    <n v="25000"/>
    <x v="1"/>
    <x v="4"/>
    <x v="4"/>
  </r>
  <r>
    <x v="310"/>
    <x v="197"/>
    <x v="2"/>
    <x v="7"/>
    <n v="3"/>
    <n v="15000"/>
    <n v="45000"/>
    <x v="2"/>
    <x v="3"/>
    <x v="2"/>
  </r>
  <r>
    <x v="311"/>
    <x v="198"/>
    <x v="8"/>
    <x v="6"/>
    <n v="3"/>
    <n v="20000"/>
    <n v="60000"/>
    <x v="2"/>
    <x v="3"/>
    <x v="3"/>
  </r>
  <r>
    <x v="312"/>
    <x v="8"/>
    <x v="4"/>
    <x v="2"/>
    <n v="4"/>
    <n v="10000"/>
    <n v="40000"/>
    <x v="1"/>
    <x v="0"/>
    <x v="0"/>
  </r>
  <r>
    <x v="313"/>
    <x v="149"/>
    <x v="4"/>
    <x v="2"/>
    <n v="2"/>
    <n v="15000"/>
    <n v="30000"/>
    <x v="2"/>
    <x v="1"/>
    <x v="1"/>
  </r>
  <r>
    <x v="314"/>
    <x v="199"/>
    <x v="3"/>
    <x v="0"/>
    <n v="4"/>
    <n v="20000"/>
    <n v="80000"/>
    <x v="1"/>
    <x v="4"/>
    <x v="4"/>
  </r>
  <r>
    <x v="315"/>
    <x v="200"/>
    <x v="3"/>
    <x v="3"/>
    <n v="3"/>
    <n v="12500"/>
    <n v="37500"/>
    <x v="1"/>
    <x v="2"/>
    <x v="2"/>
  </r>
  <r>
    <x v="316"/>
    <x v="201"/>
    <x v="7"/>
    <x v="8"/>
    <n v="1"/>
    <n v="5000"/>
    <n v="5000"/>
    <x v="0"/>
    <x v="1"/>
    <x v="1"/>
  </r>
  <r>
    <x v="317"/>
    <x v="202"/>
    <x v="1"/>
    <x v="7"/>
    <n v="5"/>
    <n v="10000"/>
    <n v="50000"/>
    <x v="3"/>
    <x v="2"/>
    <x v="2"/>
  </r>
  <r>
    <x v="318"/>
    <x v="6"/>
    <x v="9"/>
    <x v="0"/>
    <n v="4"/>
    <n v="10000"/>
    <n v="40000"/>
    <x v="1"/>
    <x v="3"/>
    <x v="3"/>
  </r>
  <r>
    <x v="319"/>
    <x v="203"/>
    <x v="8"/>
    <x v="9"/>
    <n v="5"/>
    <n v="15000"/>
    <n v="75000"/>
    <x v="3"/>
    <x v="4"/>
    <x v="4"/>
  </r>
  <r>
    <x v="320"/>
    <x v="204"/>
    <x v="2"/>
    <x v="2"/>
    <n v="3"/>
    <n v="10000"/>
    <n v="30000"/>
    <x v="3"/>
    <x v="3"/>
    <x v="3"/>
  </r>
  <r>
    <x v="321"/>
    <x v="205"/>
    <x v="0"/>
    <x v="4"/>
    <n v="5"/>
    <n v="15000"/>
    <n v="75000"/>
    <x v="1"/>
    <x v="3"/>
    <x v="3"/>
  </r>
  <r>
    <x v="322"/>
    <x v="206"/>
    <x v="1"/>
    <x v="3"/>
    <n v="1"/>
    <n v="12500"/>
    <n v="12500"/>
    <x v="0"/>
    <x v="2"/>
    <x v="2"/>
  </r>
  <r>
    <x v="323"/>
    <x v="207"/>
    <x v="4"/>
    <x v="0"/>
    <n v="4"/>
    <n v="20000"/>
    <n v="80000"/>
    <x v="0"/>
    <x v="2"/>
    <x v="2"/>
  </r>
  <r>
    <x v="324"/>
    <x v="175"/>
    <x v="3"/>
    <x v="8"/>
    <n v="2"/>
    <n v="10000"/>
    <n v="20000"/>
    <x v="1"/>
    <x v="2"/>
    <x v="2"/>
  </r>
  <r>
    <x v="325"/>
    <x v="208"/>
    <x v="0"/>
    <x v="3"/>
    <n v="3"/>
    <n v="20000"/>
    <n v="60000"/>
    <x v="2"/>
    <x v="2"/>
    <x v="2"/>
  </r>
  <r>
    <x v="326"/>
    <x v="209"/>
    <x v="1"/>
    <x v="6"/>
    <n v="3"/>
    <n v="10000"/>
    <n v="30000"/>
    <x v="0"/>
    <x v="0"/>
    <x v="0"/>
  </r>
  <r>
    <x v="327"/>
    <x v="106"/>
    <x v="8"/>
    <x v="1"/>
    <n v="5"/>
    <n v="15000"/>
    <n v="75000"/>
    <x v="2"/>
    <x v="3"/>
    <x v="3"/>
  </r>
  <r>
    <x v="328"/>
    <x v="210"/>
    <x v="9"/>
    <x v="9"/>
    <n v="4"/>
    <n v="12500"/>
    <n v="50000"/>
    <x v="1"/>
    <x v="3"/>
    <x v="3"/>
  </r>
  <r>
    <x v="329"/>
    <x v="88"/>
    <x v="6"/>
    <x v="9"/>
    <n v="2"/>
    <n v="12500"/>
    <n v="25000"/>
    <x v="2"/>
    <x v="0"/>
    <x v="0"/>
  </r>
  <r>
    <x v="330"/>
    <x v="211"/>
    <x v="9"/>
    <x v="4"/>
    <n v="4"/>
    <n v="10000"/>
    <n v="40000"/>
    <x v="2"/>
    <x v="3"/>
    <x v="3"/>
  </r>
  <r>
    <x v="331"/>
    <x v="212"/>
    <x v="10"/>
    <x v="9"/>
    <n v="2"/>
    <n v="15000"/>
    <n v="30000"/>
    <x v="0"/>
    <x v="4"/>
    <x v="4"/>
  </r>
  <r>
    <x v="332"/>
    <x v="175"/>
    <x v="4"/>
    <x v="0"/>
    <n v="2"/>
    <n v="10000"/>
    <n v="20000"/>
    <x v="1"/>
    <x v="2"/>
    <x v="2"/>
  </r>
  <r>
    <x v="333"/>
    <x v="43"/>
    <x v="10"/>
    <x v="2"/>
    <n v="3"/>
    <n v="10000"/>
    <n v="30000"/>
    <x v="0"/>
    <x v="4"/>
    <x v="4"/>
  </r>
  <r>
    <x v="334"/>
    <x v="213"/>
    <x v="1"/>
    <x v="4"/>
    <n v="3"/>
    <n v="5000"/>
    <n v="15000"/>
    <x v="2"/>
    <x v="1"/>
    <x v="1"/>
  </r>
  <r>
    <x v="335"/>
    <x v="214"/>
    <x v="8"/>
    <x v="0"/>
    <n v="3"/>
    <n v="10000"/>
    <n v="30000"/>
    <x v="2"/>
    <x v="4"/>
    <x v="4"/>
  </r>
  <r>
    <x v="336"/>
    <x v="106"/>
    <x v="3"/>
    <x v="7"/>
    <n v="1"/>
    <n v="10000"/>
    <n v="10000"/>
    <x v="3"/>
    <x v="0"/>
    <x v="0"/>
  </r>
  <r>
    <x v="337"/>
    <x v="12"/>
    <x v="6"/>
    <x v="5"/>
    <n v="3"/>
    <n v="15000"/>
    <n v="45000"/>
    <x v="2"/>
    <x v="3"/>
    <x v="3"/>
  </r>
  <r>
    <x v="338"/>
    <x v="89"/>
    <x v="6"/>
    <x v="3"/>
    <n v="3"/>
    <n v="15000"/>
    <n v="45000"/>
    <x v="1"/>
    <x v="0"/>
    <x v="0"/>
  </r>
  <r>
    <x v="339"/>
    <x v="12"/>
    <x v="3"/>
    <x v="5"/>
    <n v="1"/>
    <n v="10000"/>
    <n v="10000"/>
    <x v="3"/>
    <x v="3"/>
    <x v="3"/>
  </r>
  <r>
    <x v="340"/>
    <x v="215"/>
    <x v="9"/>
    <x v="4"/>
    <n v="1"/>
    <n v="15000"/>
    <n v="15000"/>
    <x v="2"/>
    <x v="2"/>
    <x v="2"/>
  </r>
  <r>
    <x v="341"/>
    <x v="12"/>
    <x v="8"/>
    <x v="8"/>
    <n v="1"/>
    <n v="12500"/>
    <n v="12500"/>
    <x v="1"/>
    <x v="3"/>
    <x v="3"/>
  </r>
  <r>
    <x v="342"/>
    <x v="50"/>
    <x v="0"/>
    <x v="5"/>
    <n v="4"/>
    <n v="12500"/>
    <n v="50000"/>
    <x v="1"/>
    <x v="2"/>
    <x v="2"/>
  </r>
  <r>
    <x v="343"/>
    <x v="62"/>
    <x v="6"/>
    <x v="1"/>
    <n v="3"/>
    <n v="10000"/>
    <n v="30000"/>
    <x v="2"/>
    <x v="3"/>
    <x v="3"/>
  </r>
  <r>
    <x v="344"/>
    <x v="209"/>
    <x v="9"/>
    <x v="0"/>
    <n v="3"/>
    <n v="10000"/>
    <n v="30000"/>
    <x v="2"/>
    <x v="0"/>
    <x v="0"/>
  </r>
  <r>
    <x v="345"/>
    <x v="216"/>
    <x v="7"/>
    <x v="3"/>
    <n v="1"/>
    <n v="10000"/>
    <n v="10000"/>
    <x v="1"/>
    <x v="1"/>
    <x v="1"/>
  </r>
  <r>
    <x v="346"/>
    <x v="217"/>
    <x v="5"/>
    <x v="2"/>
    <n v="3"/>
    <n v="15000"/>
    <n v="45000"/>
    <x v="0"/>
    <x v="3"/>
    <x v="3"/>
  </r>
  <r>
    <x v="347"/>
    <x v="218"/>
    <x v="9"/>
    <x v="8"/>
    <n v="2"/>
    <n v="15000"/>
    <n v="30000"/>
    <x v="2"/>
    <x v="4"/>
    <x v="4"/>
  </r>
  <r>
    <x v="348"/>
    <x v="41"/>
    <x v="7"/>
    <x v="6"/>
    <n v="2"/>
    <n v="10000"/>
    <n v="20000"/>
    <x v="2"/>
    <x v="2"/>
    <x v="2"/>
  </r>
  <r>
    <x v="349"/>
    <x v="219"/>
    <x v="2"/>
    <x v="9"/>
    <n v="2"/>
    <n v="15000"/>
    <n v="30000"/>
    <x v="2"/>
    <x v="3"/>
    <x v="3"/>
  </r>
  <r>
    <x v="350"/>
    <x v="220"/>
    <x v="8"/>
    <x v="3"/>
    <n v="1"/>
    <n v="15000"/>
    <n v="15000"/>
    <x v="3"/>
    <x v="0"/>
    <x v="0"/>
  </r>
  <r>
    <x v="351"/>
    <x v="161"/>
    <x v="10"/>
    <x v="4"/>
    <n v="1"/>
    <n v="20000"/>
    <n v="20000"/>
    <x v="1"/>
    <x v="0"/>
    <x v="0"/>
  </r>
  <r>
    <x v="352"/>
    <x v="200"/>
    <x v="1"/>
    <x v="1"/>
    <n v="3"/>
    <n v="10000"/>
    <n v="30000"/>
    <x v="2"/>
    <x v="3"/>
    <x v="3"/>
  </r>
  <r>
    <x v="353"/>
    <x v="102"/>
    <x v="3"/>
    <x v="6"/>
    <n v="4"/>
    <n v="20000"/>
    <n v="80000"/>
    <x v="1"/>
    <x v="3"/>
    <x v="3"/>
  </r>
  <r>
    <x v="354"/>
    <x v="221"/>
    <x v="8"/>
    <x v="8"/>
    <n v="5"/>
    <n v="15000"/>
    <n v="75000"/>
    <x v="3"/>
    <x v="2"/>
    <x v="2"/>
  </r>
  <r>
    <x v="355"/>
    <x v="211"/>
    <x v="10"/>
    <x v="4"/>
    <n v="4"/>
    <n v="15000"/>
    <n v="60000"/>
    <x v="3"/>
    <x v="2"/>
    <x v="2"/>
  </r>
  <r>
    <x v="356"/>
    <x v="73"/>
    <x v="2"/>
    <x v="3"/>
    <n v="2"/>
    <n v="10000"/>
    <n v="20000"/>
    <x v="2"/>
    <x v="1"/>
    <x v="1"/>
  </r>
  <r>
    <x v="357"/>
    <x v="12"/>
    <x v="1"/>
    <x v="3"/>
    <n v="5"/>
    <n v="10000"/>
    <n v="50000"/>
    <x v="3"/>
    <x v="3"/>
    <x v="3"/>
  </r>
  <r>
    <x v="358"/>
    <x v="213"/>
    <x v="9"/>
    <x v="1"/>
    <n v="1"/>
    <n v="10000"/>
    <n v="10000"/>
    <x v="0"/>
    <x v="3"/>
    <x v="1"/>
  </r>
  <r>
    <x v="359"/>
    <x v="190"/>
    <x v="0"/>
    <x v="0"/>
    <n v="2"/>
    <n v="20000"/>
    <n v="40000"/>
    <x v="3"/>
    <x v="2"/>
    <x v="2"/>
  </r>
  <r>
    <x v="360"/>
    <x v="113"/>
    <x v="10"/>
    <x v="4"/>
    <n v="3"/>
    <n v="10000"/>
    <n v="30000"/>
    <x v="2"/>
    <x v="2"/>
    <x v="2"/>
  </r>
  <r>
    <x v="361"/>
    <x v="12"/>
    <x v="10"/>
    <x v="2"/>
    <n v="2"/>
    <n v="15000"/>
    <n v="30000"/>
    <x v="0"/>
    <x v="2"/>
    <x v="2"/>
  </r>
  <r>
    <x v="362"/>
    <x v="159"/>
    <x v="9"/>
    <x v="1"/>
    <n v="5"/>
    <n v="15000"/>
    <n v="75000"/>
    <x v="3"/>
    <x v="1"/>
    <x v="1"/>
  </r>
  <r>
    <x v="363"/>
    <x v="172"/>
    <x v="0"/>
    <x v="6"/>
    <n v="5"/>
    <n v="12500"/>
    <n v="62500"/>
    <x v="1"/>
    <x v="2"/>
    <x v="2"/>
  </r>
  <r>
    <x v="364"/>
    <x v="173"/>
    <x v="6"/>
    <x v="5"/>
    <n v="3"/>
    <n v="10000"/>
    <n v="30000"/>
    <x v="1"/>
    <x v="1"/>
    <x v="1"/>
  </r>
  <r>
    <x v="365"/>
    <x v="60"/>
    <x v="9"/>
    <x v="2"/>
    <n v="3"/>
    <n v="15000"/>
    <n v="45000"/>
    <x v="2"/>
    <x v="1"/>
    <x v="1"/>
  </r>
  <r>
    <x v="366"/>
    <x v="186"/>
    <x v="5"/>
    <x v="4"/>
    <n v="4"/>
    <n v="10000"/>
    <n v="40000"/>
    <x v="3"/>
    <x v="4"/>
    <x v="4"/>
  </r>
  <r>
    <x v="367"/>
    <x v="135"/>
    <x v="1"/>
    <x v="3"/>
    <n v="4"/>
    <n v="12500"/>
    <n v="50000"/>
    <x v="0"/>
    <x v="3"/>
    <x v="3"/>
  </r>
  <r>
    <x v="368"/>
    <x v="12"/>
    <x v="7"/>
    <x v="1"/>
    <n v="4"/>
    <n v="10000"/>
    <n v="40000"/>
    <x v="1"/>
    <x v="0"/>
    <x v="0"/>
  </r>
  <r>
    <x v="369"/>
    <x v="222"/>
    <x v="4"/>
    <x v="5"/>
    <n v="4"/>
    <n v="15000"/>
    <n v="60000"/>
    <x v="2"/>
    <x v="1"/>
    <x v="1"/>
  </r>
  <r>
    <x v="370"/>
    <x v="12"/>
    <x v="0"/>
    <x v="4"/>
    <n v="3"/>
    <n v="10000"/>
    <n v="30000"/>
    <x v="0"/>
    <x v="1"/>
    <x v="1"/>
  </r>
  <r>
    <x v="371"/>
    <x v="41"/>
    <x v="1"/>
    <x v="5"/>
    <n v="3"/>
    <n v="10000"/>
    <n v="30000"/>
    <x v="3"/>
    <x v="1"/>
    <x v="1"/>
  </r>
  <r>
    <x v="372"/>
    <x v="29"/>
    <x v="1"/>
    <x v="8"/>
    <n v="3"/>
    <n v="15000"/>
    <n v="45000"/>
    <x v="0"/>
    <x v="3"/>
    <x v="1"/>
  </r>
  <r>
    <x v="373"/>
    <x v="29"/>
    <x v="5"/>
    <x v="0"/>
    <n v="5"/>
    <n v="15000"/>
    <n v="75000"/>
    <x v="1"/>
    <x v="1"/>
    <x v="1"/>
  </r>
  <r>
    <x v="374"/>
    <x v="136"/>
    <x v="10"/>
    <x v="2"/>
    <n v="2"/>
    <n v="12500"/>
    <n v="25000"/>
    <x v="3"/>
    <x v="2"/>
    <x v="2"/>
  </r>
  <r>
    <x v="375"/>
    <x v="223"/>
    <x v="1"/>
    <x v="3"/>
    <n v="3"/>
    <n v="20000"/>
    <n v="60000"/>
    <x v="1"/>
    <x v="4"/>
    <x v="4"/>
  </r>
  <r>
    <x v="376"/>
    <x v="224"/>
    <x v="3"/>
    <x v="2"/>
    <n v="3"/>
    <n v="15000"/>
    <n v="45000"/>
    <x v="2"/>
    <x v="0"/>
    <x v="0"/>
  </r>
  <r>
    <x v="377"/>
    <x v="12"/>
    <x v="2"/>
    <x v="3"/>
    <n v="2"/>
    <n v="10000"/>
    <n v="20000"/>
    <x v="2"/>
    <x v="0"/>
    <x v="0"/>
  </r>
  <r>
    <x v="378"/>
    <x v="54"/>
    <x v="10"/>
    <x v="7"/>
    <n v="4"/>
    <n v="15000"/>
    <n v="60000"/>
    <x v="2"/>
    <x v="2"/>
    <x v="2"/>
  </r>
  <r>
    <x v="379"/>
    <x v="225"/>
    <x v="6"/>
    <x v="8"/>
    <n v="2"/>
    <n v="5000"/>
    <n v="10000"/>
    <x v="3"/>
    <x v="2"/>
    <x v="2"/>
  </r>
  <r>
    <x v="380"/>
    <x v="166"/>
    <x v="3"/>
    <x v="4"/>
    <n v="4"/>
    <n v="15000"/>
    <n v="60000"/>
    <x v="1"/>
    <x v="3"/>
    <x v="3"/>
  </r>
  <r>
    <x v="381"/>
    <x v="209"/>
    <x v="0"/>
    <x v="2"/>
    <n v="2"/>
    <n v="15000"/>
    <n v="30000"/>
    <x v="2"/>
    <x v="4"/>
    <x v="4"/>
  </r>
  <r>
    <x v="382"/>
    <x v="73"/>
    <x v="5"/>
    <x v="2"/>
    <n v="2"/>
    <n v="15000"/>
    <n v="30000"/>
    <x v="0"/>
    <x v="3"/>
    <x v="3"/>
  </r>
  <r>
    <x v="383"/>
    <x v="226"/>
    <x v="3"/>
    <x v="2"/>
    <n v="1"/>
    <n v="10000"/>
    <n v="10000"/>
    <x v="3"/>
    <x v="0"/>
    <x v="0"/>
  </r>
  <r>
    <x v="384"/>
    <x v="227"/>
    <x v="1"/>
    <x v="7"/>
    <n v="4"/>
    <n v="5000"/>
    <n v="20000"/>
    <x v="0"/>
    <x v="3"/>
    <x v="3"/>
  </r>
  <r>
    <x v="385"/>
    <x v="140"/>
    <x v="9"/>
    <x v="6"/>
    <n v="5"/>
    <n v="15000"/>
    <n v="75000"/>
    <x v="2"/>
    <x v="3"/>
    <x v="3"/>
  </r>
  <r>
    <x v="386"/>
    <x v="106"/>
    <x v="3"/>
    <x v="4"/>
    <n v="2"/>
    <n v="12500"/>
    <n v="25000"/>
    <x v="2"/>
    <x v="4"/>
    <x v="4"/>
  </r>
  <r>
    <x v="387"/>
    <x v="71"/>
    <x v="10"/>
    <x v="1"/>
    <n v="2"/>
    <n v="10000"/>
    <n v="20000"/>
    <x v="3"/>
    <x v="1"/>
    <x v="1"/>
  </r>
  <r>
    <x v="388"/>
    <x v="228"/>
    <x v="7"/>
    <x v="9"/>
    <n v="3"/>
    <n v="15000"/>
    <n v="45000"/>
    <x v="3"/>
    <x v="4"/>
    <x v="4"/>
  </r>
  <r>
    <x v="389"/>
    <x v="178"/>
    <x v="2"/>
    <x v="1"/>
    <n v="1"/>
    <n v="10000"/>
    <n v="10000"/>
    <x v="0"/>
    <x v="4"/>
    <x v="4"/>
  </r>
  <r>
    <x v="390"/>
    <x v="229"/>
    <x v="10"/>
    <x v="7"/>
    <n v="4"/>
    <n v="15000"/>
    <n v="60000"/>
    <x v="1"/>
    <x v="4"/>
    <x v="4"/>
  </r>
  <r>
    <x v="391"/>
    <x v="190"/>
    <x v="4"/>
    <x v="2"/>
    <n v="3"/>
    <n v="10000"/>
    <n v="30000"/>
    <x v="0"/>
    <x v="3"/>
    <x v="3"/>
  </r>
  <r>
    <x v="392"/>
    <x v="35"/>
    <x v="10"/>
    <x v="9"/>
    <n v="5"/>
    <n v="20000"/>
    <n v="100000"/>
    <x v="0"/>
    <x v="1"/>
    <x v="1"/>
  </r>
  <r>
    <x v="393"/>
    <x v="230"/>
    <x v="7"/>
    <x v="6"/>
    <n v="3"/>
    <n v="20000"/>
    <n v="60000"/>
    <x v="1"/>
    <x v="2"/>
    <x v="2"/>
  </r>
  <r>
    <x v="394"/>
    <x v="209"/>
    <x v="1"/>
    <x v="6"/>
    <n v="2"/>
    <n v="20000"/>
    <n v="40000"/>
    <x v="3"/>
    <x v="2"/>
    <x v="2"/>
  </r>
  <r>
    <x v="395"/>
    <x v="231"/>
    <x v="3"/>
    <x v="3"/>
    <n v="5"/>
    <n v="12500"/>
    <n v="62500"/>
    <x v="2"/>
    <x v="4"/>
    <x v="4"/>
  </r>
  <r>
    <x v="396"/>
    <x v="12"/>
    <x v="10"/>
    <x v="0"/>
    <n v="3"/>
    <n v="20000"/>
    <n v="60000"/>
    <x v="3"/>
    <x v="4"/>
    <x v="4"/>
  </r>
  <r>
    <x v="397"/>
    <x v="232"/>
    <x v="1"/>
    <x v="9"/>
    <n v="3"/>
    <n v="10000"/>
    <n v="30000"/>
    <x v="3"/>
    <x v="3"/>
    <x v="3"/>
  </r>
  <r>
    <x v="398"/>
    <x v="188"/>
    <x v="0"/>
    <x v="2"/>
    <n v="3"/>
    <n v="12500"/>
    <n v="37500"/>
    <x v="2"/>
    <x v="3"/>
    <x v="3"/>
  </r>
  <r>
    <x v="399"/>
    <x v="12"/>
    <x v="7"/>
    <x v="5"/>
    <n v="1"/>
    <n v="5000"/>
    <n v="5000"/>
    <x v="0"/>
    <x v="2"/>
    <x v="2"/>
  </r>
  <r>
    <x v="400"/>
    <x v="233"/>
    <x v="0"/>
    <x v="3"/>
    <n v="4"/>
    <n v="20000"/>
    <n v="80000"/>
    <x v="2"/>
    <x v="4"/>
    <x v="4"/>
  </r>
  <r>
    <x v="401"/>
    <x v="12"/>
    <x v="4"/>
    <x v="3"/>
    <n v="1"/>
    <n v="10000"/>
    <n v="10000"/>
    <x v="3"/>
    <x v="4"/>
    <x v="4"/>
  </r>
  <r>
    <x v="402"/>
    <x v="101"/>
    <x v="2"/>
    <x v="8"/>
    <n v="3"/>
    <n v="20000"/>
    <n v="60000"/>
    <x v="0"/>
    <x v="4"/>
    <x v="4"/>
  </r>
  <r>
    <x v="403"/>
    <x v="234"/>
    <x v="2"/>
    <x v="7"/>
    <n v="1"/>
    <n v="15000"/>
    <n v="15000"/>
    <x v="0"/>
    <x v="1"/>
    <x v="1"/>
  </r>
  <r>
    <x v="404"/>
    <x v="50"/>
    <x v="5"/>
    <x v="3"/>
    <n v="1"/>
    <n v="10000"/>
    <n v="10000"/>
    <x v="2"/>
    <x v="0"/>
    <x v="0"/>
  </r>
  <r>
    <x v="405"/>
    <x v="181"/>
    <x v="5"/>
    <x v="8"/>
    <n v="2"/>
    <n v="15000"/>
    <n v="30000"/>
    <x v="2"/>
    <x v="2"/>
    <x v="2"/>
  </r>
  <r>
    <x v="406"/>
    <x v="48"/>
    <x v="3"/>
    <x v="9"/>
    <n v="3"/>
    <n v="15000"/>
    <n v="45000"/>
    <x v="3"/>
    <x v="3"/>
    <x v="3"/>
  </r>
  <r>
    <x v="407"/>
    <x v="141"/>
    <x v="6"/>
    <x v="3"/>
    <n v="3"/>
    <n v="10000"/>
    <n v="30000"/>
    <x v="3"/>
    <x v="0"/>
    <x v="0"/>
  </r>
  <r>
    <x v="408"/>
    <x v="58"/>
    <x v="0"/>
    <x v="0"/>
    <n v="1"/>
    <n v="15000"/>
    <n v="15000"/>
    <x v="1"/>
    <x v="3"/>
    <x v="3"/>
  </r>
  <r>
    <x v="409"/>
    <x v="184"/>
    <x v="8"/>
    <x v="2"/>
    <n v="5"/>
    <n v="15000"/>
    <n v="75000"/>
    <x v="2"/>
    <x v="3"/>
    <x v="3"/>
  </r>
  <r>
    <x v="410"/>
    <x v="185"/>
    <x v="4"/>
    <x v="2"/>
    <n v="3"/>
    <n v="5000"/>
    <n v="15000"/>
    <x v="3"/>
    <x v="3"/>
    <x v="4"/>
  </r>
  <r>
    <x v="411"/>
    <x v="235"/>
    <x v="9"/>
    <x v="4"/>
    <n v="1"/>
    <n v="5000"/>
    <n v="5000"/>
    <x v="0"/>
    <x v="1"/>
    <x v="1"/>
  </r>
  <r>
    <x v="412"/>
    <x v="201"/>
    <x v="3"/>
    <x v="5"/>
    <n v="3"/>
    <n v="5000"/>
    <n v="15000"/>
    <x v="2"/>
    <x v="2"/>
    <x v="2"/>
  </r>
  <r>
    <x v="413"/>
    <x v="16"/>
    <x v="6"/>
    <x v="1"/>
    <n v="5"/>
    <n v="15000"/>
    <n v="75000"/>
    <x v="2"/>
    <x v="4"/>
    <x v="4"/>
  </r>
  <r>
    <x v="414"/>
    <x v="236"/>
    <x v="6"/>
    <x v="8"/>
    <n v="2"/>
    <n v="15000"/>
    <n v="30000"/>
    <x v="0"/>
    <x v="2"/>
    <x v="2"/>
  </r>
  <r>
    <x v="415"/>
    <x v="179"/>
    <x v="4"/>
    <x v="9"/>
    <n v="5"/>
    <n v="5000"/>
    <n v="25000"/>
    <x v="0"/>
    <x v="4"/>
    <x v="4"/>
  </r>
  <r>
    <x v="416"/>
    <x v="237"/>
    <x v="4"/>
    <x v="9"/>
    <n v="5"/>
    <n v="15000"/>
    <n v="75000"/>
    <x v="0"/>
    <x v="3"/>
    <x v="3"/>
  </r>
  <r>
    <x v="417"/>
    <x v="238"/>
    <x v="8"/>
    <x v="9"/>
    <n v="1"/>
    <n v="15000"/>
    <n v="15000"/>
    <x v="0"/>
    <x v="3"/>
    <x v="3"/>
  </r>
  <r>
    <x v="418"/>
    <x v="150"/>
    <x v="4"/>
    <x v="8"/>
    <n v="3"/>
    <n v="15000"/>
    <n v="45000"/>
    <x v="3"/>
    <x v="3"/>
    <x v="3"/>
  </r>
  <r>
    <x v="419"/>
    <x v="166"/>
    <x v="4"/>
    <x v="3"/>
    <n v="3"/>
    <n v="10000"/>
    <n v="30000"/>
    <x v="1"/>
    <x v="2"/>
    <x v="2"/>
  </r>
  <r>
    <x v="420"/>
    <x v="15"/>
    <x v="9"/>
    <x v="5"/>
    <n v="4"/>
    <n v="12500"/>
    <n v="50000"/>
    <x v="1"/>
    <x v="0"/>
    <x v="0"/>
  </r>
  <r>
    <x v="421"/>
    <x v="239"/>
    <x v="9"/>
    <x v="4"/>
    <n v="4"/>
    <n v="15000"/>
    <n v="60000"/>
    <x v="3"/>
    <x v="1"/>
    <x v="1"/>
  </r>
  <r>
    <x v="422"/>
    <x v="89"/>
    <x v="2"/>
    <x v="8"/>
    <n v="2"/>
    <n v="15000"/>
    <n v="30000"/>
    <x v="0"/>
    <x v="0"/>
    <x v="0"/>
  </r>
  <r>
    <x v="423"/>
    <x v="240"/>
    <x v="10"/>
    <x v="5"/>
    <n v="3"/>
    <n v="15000"/>
    <n v="45000"/>
    <x v="2"/>
    <x v="4"/>
    <x v="4"/>
  </r>
  <r>
    <x v="424"/>
    <x v="12"/>
    <x v="3"/>
    <x v="8"/>
    <n v="2"/>
    <n v="20000"/>
    <n v="40000"/>
    <x v="0"/>
    <x v="0"/>
    <x v="0"/>
  </r>
  <r>
    <x v="425"/>
    <x v="141"/>
    <x v="7"/>
    <x v="1"/>
    <n v="3"/>
    <n v="5000"/>
    <n v="15000"/>
    <x v="1"/>
    <x v="4"/>
    <x v="4"/>
  </r>
  <r>
    <x v="426"/>
    <x v="162"/>
    <x v="9"/>
    <x v="4"/>
    <n v="4"/>
    <n v="15000"/>
    <n v="60000"/>
    <x v="0"/>
    <x v="3"/>
    <x v="3"/>
  </r>
  <r>
    <x v="427"/>
    <x v="155"/>
    <x v="9"/>
    <x v="8"/>
    <n v="3"/>
    <n v="5000"/>
    <n v="15000"/>
    <x v="1"/>
    <x v="3"/>
    <x v="3"/>
  </r>
  <r>
    <x v="428"/>
    <x v="205"/>
    <x v="7"/>
    <x v="2"/>
    <n v="2"/>
    <n v="20000"/>
    <n v="40000"/>
    <x v="1"/>
    <x v="4"/>
    <x v="4"/>
  </r>
  <r>
    <x v="429"/>
    <x v="169"/>
    <x v="7"/>
    <x v="7"/>
    <n v="1"/>
    <n v="10000"/>
    <n v="10000"/>
    <x v="2"/>
    <x v="4"/>
    <x v="4"/>
  </r>
  <r>
    <x v="430"/>
    <x v="241"/>
    <x v="4"/>
    <x v="4"/>
    <n v="3"/>
    <n v="12500"/>
    <n v="37500"/>
    <x v="2"/>
    <x v="2"/>
    <x v="2"/>
  </r>
  <r>
    <x v="431"/>
    <x v="31"/>
    <x v="1"/>
    <x v="0"/>
    <n v="3"/>
    <n v="20000"/>
    <n v="60000"/>
    <x v="0"/>
    <x v="2"/>
    <x v="2"/>
  </r>
  <r>
    <x v="432"/>
    <x v="69"/>
    <x v="5"/>
    <x v="3"/>
    <n v="3"/>
    <n v="10000"/>
    <n v="30000"/>
    <x v="0"/>
    <x v="0"/>
    <x v="0"/>
  </r>
  <r>
    <x v="433"/>
    <x v="56"/>
    <x v="8"/>
    <x v="8"/>
    <n v="2"/>
    <n v="15000"/>
    <n v="30000"/>
    <x v="1"/>
    <x v="3"/>
    <x v="0"/>
  </r>
  <r>
    <x v="434"/>
    <x v="63"/>
    <x v="1"/>
    <x v="9"/>
    <n v="4"/>
    <n v="10000"/>
    <n v="40000"/>
    <x v="2"/>
    <x v="0"/>
    <x v="0"/>
  </r>
  <r>
    <x v="435"/>
    <x v="227"/>
    <x v="8"/>
    <x v="8"/>
    <n v="2"/>
    <n v="15000"/>
    <n v="30000"/>
    <x v="0"/>
    <x v="3"/>
    <x v="3"/>
  </r>
  <r>
    <x v="436"/>
    <x v="106"/>
    <x v="0"/>
    <x v="6"/>
    <n v="2"/>
    <n v="12500"/>
    <n v="25000"/>
    <x v="3"/>
    <x v="2"/>
    <x v="2"/>
  </r>
  <r>
    <x v="437"/>
    <x v="240"/>
    <x v="0"/>
    <x v="3"/>
    <n v="3"/>
    <n v="10000"/>
    <n v="30000"/>
    <x v="0"/>
    <x v="3"/>
    <x v="3"/>
  </r>
  <r>
    <x v="438"/>
    <x v="242"/>
    <x v="9"/>
    <x v="3"/>
    <n v="4"/>
    <n v="20000"/>
    <n v="80000"/>
    <x v="3"/>
    <x v="4"/>
    <x v="4"/>
  </r>
  <r>
    <x v="439"/>
    <x v="222"/>
    <x v="6"/>
    <x v="4"/>
    <n v="1"/>
    <n v="20000"/>
    <n v="20000"/>
    <x v="1"/>
    <x v="3"/>
    <x v="0"/>
  </r>
  <r>
    <x v="440"/>
    <x v="239"/>
    <x v="7"/>
    <x v="3"/>
    <n v="3"/>
    <n v="20000"/>
    <n v="60000"/>
    <x v="2"/>
    <x v="4"/>
    <x v="4"/>
  </r>
  <r>
    <x v="441"/>
    <x v="71"/>
    <x v="10"/>
    <x v="2"/>
    <n v="1"/>
    <n v="10000"/>
    <n v="10000"/>
    <x v="1"/>
    <x v="0"/>
    <x v="0"/>
  </r>
  <r>
    <x v="442"/>
    <x v="224"/>
    <x v="5"/>
    <x v="2"/>
    <n v="5"/>
    <n v="10000"/>
    <n v="50000"/>
    <x v="3"/>
    <x v="3"/>
    <x v="3"/>
  </r>
  <r>
    <x v="443"/>
    <x v="52"/>
    <x v="6"/>
    <x v="0"/>
    <n v="3"/>
    <n v="20000"/>
    <n v="60000"/>
    <x v="2"/>
    <x v="3"/>
    <x v="3"/>
  </r>
  <r>
    <x v="444"/>
    <x v="12"/>
    <x v="3"/>
    <x v="5"/>
    <n v="1"/>
    <n v="12500"/>
    <n v="12500"/>
    <x v="2"/>
    <x v="1"/>
    <x v="1"/>
  </r>
  <r>
    <x v="445"/>
    <x v="12"/>
    <x v="2"/>
    <x v="9"/>
    <n v="3"/>
    <n v="12500"/>
    <n v="37500"/>
    <x v="2"/>
    <x v="3"/>
    <x v="0"/>
  </r>
  <r>
    <x v="446"/>
    <x v="67"/>
    <x v="1"/>
    <x v="2"/>
    <n v="5"/>
    <n v="12500"/>
    <n v="62500"/>
    <x v="3"/>
    <x v="0"/>
    <x v="0"/>
  </r>
  <r>
    <x v="447"/>
    <x v="243"/>
    <x v="0"/>
    <x v="4"/>
    <n v="3"/>
    <n v="15000"/>
    <n v="45000"/>
    <x v="0"/>
    <x v="3"/>
    <x v="3"/>
  </r>
  <r>
    <x v="448"/>
    <x v="92"/>
    <x v="0"/>
    <x v="9"/>
    <n v="3"/>
    <n v="5000"/>
    <n v="15000"/>
    <x v="1"/>
    <x v="2"/>
    <x v="2"/>
  </r>
  <r>
    <x v="449"/>
    <x v="80"/>
    <x v="2"/>
    <x v="1"/>
    <n v="4"/>
    <n v="10000"/>
    <n v="40000"/>
    <x v="2"/>
    <x v="3"/>
    <x v="3"/>
  </r>
  <r>
    <x v="450"/>
    <x v="53"/>
    <x v="8"/>
    <x v="2"/>
    <n v="3"/>
    <n v="20000"/>
    <n v="60000"/>
    <x v="1"/>
    <x v="4"/>
    <x v="4"/>
  </r>
  <r>
    <x v="451"/>
    <x v="244"/>
    <x v="10"/>
    <x v="4"/>
    <n v="1"/>
    <n v="20000"/>
    <n v="20000"/>
    <x v="2"/>
    <x v="2"/>
    <x v="2"/>
  </r>
  <r>
    <x v="452"/>
    <x v="245"/>
    <x v="0"/>
    <x v="8"/>
    <n v="4"/>
    <n v="15000"/>
    <n v="60000"/>
    <x v="3"/>
    <x v="2"/>
    <x v="2"/>
  </r>
  <r>
    <x v="453"/>
    <x v="12"/>
    <x v="2"/>
    <x v="9"/>
    <n v="1"/>
    <n v="15000"/>
    <n v="15000"/>
    <x v="2"/>
    <x v="3"/>
    <x v="3"/>
  </r>
  <r>
    <x v="454"/>
    <x v="197"/>
    <x v="4"/>
    <x v="3"/>
    <n v="3"/>
    <n v="12500"/>
    <n v="37500"/>
    <x v="3"/>
    <x v="2"/>
    <x v="2"/>
  </r>
  <r>
    <x v="455"/>
    <x v="168"/>
    <x v="3"/>
    <x v="2"/>
    <n v="4"/>
    <n v="10000"/>
    <n v="40000"/>
    <x v="2"/>
    <x v="1"/>
    <x v="1"/>
  </r>
  <r>
    <x v="456"/>
    <x v="5"/>
    <x v="3"/>
    <x v="0"/>
    <n v="2"/>
    <n v="15000"/>
    <n v="30000"/>
    <x v="2"/>
    <x v="2"/>
    <x v="2"/>
  </r>
  <r>
    <x v="457"/>
    <x v="49"/>
    <x v="7"/>
    <x v="6"/>
    <n v="3"/>
    <n v="5000"/>
    <n v="15000"/>
    <x v="3"/>
    <x v="3"/>
    <x v="3"/>
  </r>
  <r>
    <x v="458"/>
    <x v="197"/>
    <x v="7"/>
    <x v="0"/>
    <n v="3"/>
    <n v="12500"/>
    <n v="37500"/>
    <x v="0"/>
    <x v="3"/>
    <x v="3"/>
  </r>
  <r>
    <x v="459"/>
    <x v="39"/>
    <x v="6"/>
    <x v="4"/>
    <n v="3"/>
    <n v="12500"/>
    <n v="37500"/>
    <x v="0"/>
    <x v="3"/>
    <x v="3"/>
  </r>
  <r>
    <x v="460"/>
    <x v="12"/>
    <x v="7"/>
    <x v="0"/>
    <n v="1"/>
    <n v="15000"/>
    <n v="15000"/>
    <x v="1"/>
    <x v="4"/>
    <x v="4"/>
  </r>
  <r>
    <x v="461"/>
    <x v="37"/>
    <x v="6"/>
    <x v="3"/>
    <n v="3"/>
    <n v="10000"/>
    <n v="30000"/>
    <x v="2"/>
    <x v="4"/>
    <x v="4"/>
  </r>
  <r>
    <x v="462"/>
    <x v="246"/>
    <x v="8"/>
    <x v="8"/>
    <n v="5"/>
    <n v="15000"/>
    <n v="75000"/>
    <x v="0"/>
    <x v="1"/>
    <x v="1"/>
  </r>
  <r>
    <x v="463"/>
    <x v="12"/>
    <x v="0"/>
    <x v="0"/>
    <n v="3"/>
    <n v="15000"/>
    <n v="45000"/>
    <x v="3"/>
    <x v="3"/>
    <x v="3"/>
  </r>
  <r>
    <x v="464"/>
    <x v="247"/>
    <x v="8"/>
    <x v="1"/>
    <n v="3"/>
    <n v="15000"/>
    <n v="45000"/>
    <x v="3"/>
    <x v="1"/>
    <x v="1"/>
  </r>
  <r>
    <x v="465"/>
    <x v="248"/>
    <x v="7"/>
    <x v="8"/>
    <n v="2"/>
    <n v="5000"/>
    <n v="10000"/>
    <x v="3"/>
    <x v="3"/>
    <x v="3"/>
  </r>
  <r>
    <x v="466"/>
    <x v="132"/>
    <x v="8"/>
    <x v="2"/>
    <n v="3"/>
    <n v="15000"/>
    <n v="45000"/>
    <x v="0"/>
    <x v="4"/>
    <x v="4"/>
  </r>
  <r>
    <x v="467"/>
    <x v="249"/>
    <x v="2"/>
    <x v="6"/>
    <n v="5"/>
    <n v="15000"/>
    <n v="75000"/>
    <x v="1"/>
    <x v="2"/>
    <x v="2"/>
  </r>
  <r>
    <x v="468"/>
    <x v="240"/>
    <x v="9"/>
    <x v="3"/>
    <n v="5"/>
    <n v="10000"/>
    <n v="50000"/>
    <x v="0"/>
    <x v="2"/>
    <x v="2"/>
  </r>
  <r>
    <x v="469"/>
    <x v="12"/>
    <x v="10"/>
    <x v="6"/>
    <n v="5"/>
    <n v="10000"/>
    <n v="50000"/>
    <x v="0"/>
    <x v="3"/>
    <x v="3"/>
  </r>
  <r>
    <x v="470"/>
    <x v="171"/>
    <x v="9"/>
    <x v="1"/>
    <n v="3"/>
    <n v="20000"/>
    <n v="60000"/>
    <x v="1"/>
    <x v="1"/>
    <x v="1"/>
  </r>
  <r>
    <x v="471"/>
    <x v="217"/>
    <x v="5"/>
    <x v="7"/>
    <n v="2"/>
    <n v="10000"/>
    <n v="20000"/>
    <x v="3"/>
    <x v="1"/>
    <x v="1"/>
  </r>
  <r>
    <x v="472"/>
    <x v="12"/>
    <x v="4"/>
    <x v="9"/>
    <n v="4"/>
    <n v="10000"/>
    <n v="40000"/>
    <x v="1"/>
    <x v="1"/>
    <x v="1"/>
  </r>
  <r>
    <x v="473"/>
    <x v="53"/>
    <x v="5"/>
    <x v="7"/>
    <n v="1"/>
    <n v="10000"/>
    <n v="10000"/>
    <x v="2"/>
    <x v="3"/>
    <x v="3"/>
  </r>
  <r>
    <x v="474"/>
    <x v="172"/>
    <x v="7"/>
    <x v="5"/>
    <n v="4"/>
    <n v="20000"/>
    <n v="80000"/>
    <x v="0"/>
    <x v="0"/>
    <x v="0"/>
  </r>
  <r>
    <x v="475"/>
    <x v="148"/>
    <x v="7"/>
    <x v="1"/>
    <n v="2"/>
    <n v="5000"/>
    <n v="10000"/>
    <x v="1"/>
    <x v="0"/>
    <x v="0"/>
  </r>
  <r>
    <x v="476"/>
    <x v="128"/>
    <x v="9"/>
    <x v="2"/>
    <n v="4"/>
    <n v="15000"/>
    <n v="60000"/>
    <x v="3"/>
    <x v="1"/>
    <x v="1"/>
  </r>
  <r>
    <x v="477"/>
    <x v="23"/>
    <x v="6"/>
    <x v="2"/>
    <n v="3"/>
    <n v="10000"/>
    <n v="30000"/>
    <x v="2"/>
    <x v="2"/>
    <x v="2"/>
  </r>
  <r>
    <x v="478"/>
    <x v="250"/>
    <x v="6"/>
    <x v="0"/>
    <n v="2"/>
    <n v="10000"/>
    <n v="20000"/>
    <x v="2"/>
    <x v="2"/>
    <x v="2"/>
  </r>
  <r>
    <x v="479"/>
    <x v="36"/>
    <x v="4"/>
    <x v="0"/>
    <n v="3"/>
    <n v="10000"/>
    <n v="30000"/>
    <x v="2"/>
    <x v="3"/>
    <x v="1"/>
  </r>
  <r>
    <x v="480"/>
    <x v="213"/>
    <x v="4"/>
    <x v="6"/>
    <n v="4"/>
    <n v="15000"/>
    <n v="60000"/>
    <x v="2"/>
    <x v="0"/>
    <x v="0"/>
  </r>
  <r>
    <x v="481"/>
    <x v="244"/>
    <x v="10"/>
    <x v="2"/>
    <n v="5"/>
    <n v="10000"/>
    <n v="50000"/>
    <x v="1"/>
    <x v="4"/>
    <x v="4"/>
  </r>
  <r>
    <x v="482"/>
    <x v="216"/>
    <x v="2"/>
    <x v="1"/>
    <n v="5"/>
    <n v="15000"/>
    <n v="75000"/>
    <x v="2"/>
    <x v="3"/>
    <x v="3"/>
  </r>
  <r>
    <x v="483"/>
    <x v="197"/>
    <x v="4"/>
    <x v="9"/>
    <n v="3"/>
    <n v="10000"/>
    <n v="30000"/>
    <x v="0"/>
    <x v="1"/>
    <x v="1"/>
  </r>
  <r>
    <x v="484"/>
    <x v="133"/>
    <x v="1"/>
    <x v="5"/>
    <n v="4"/>
    <n v="10000"/>
    <n v="40000"/>
    <x v="3"/>
    <x v="0"/>
    <x v="0"/>
  </r>
  <r>
    <x v="485"/>
    <x v="251"/>
    <x v="6"/>
    <x v="1"/>
    <n v="4"/>
    <n v="20000"/>
    <n v="80000"/>
    <x v="2"/>
    <x v="2"/>
    <x v="2"/>
  </r>
  <r>
    <x v="486"/>
    <x v="252"/>
    <x v="6"/>
    <x v="7"/>
    <n v="3"/>
    <n v="12500"/>
    <n v="37500"/>
    <x v="3"/>
    <x v="4"/>
    <x v="4"/>
  </r>
  <r>
    <x v="487"/>
    <x v="83"/>
    <x v="9"/>
    <x v="6"/>
    <n v="3"/>
    <n v="15000"/>
    <n v="45000"/>
    <x v="2"/>
    <x v="1"/>
    <x v="1"/>
  </r>
  <r>
    <x v="488"/>
    <x v="253"/>
    <x v="4"/>
    <x v="6"/>
    <n v="3"/>
    <n v="10000"/>
    <n v="30000"/>
    <x v="2"/>
    <x v="3"/>
    <x v="1"/>
  </r>
  <r>
    <x v="489"/>
    <x v="254"/>
    <x v="4"/>
    <x v="6"/>
    <n v="2"/>
    <n v="10000"/>
    <n v="20000"/>
    <x v="2"/>
    <x v="0"/>
    <x v="0"/>
  </r>
  <r>
    <x v="490"/>
    <x v="139"/>
    <x v="3"/>
    <x v="0"/>
    <n v="3"/>
    <n v="5000"/>
    <n v="15000"/>
    <x v="0"/>
    <x v="2"/>
    <x v="2"/>
  </r>
  <r>
    <x v="491"/>
    <x v="44"/>
    <x v="5"/>
    <x v="9"/>
    <n v="3"/>
    <n v="20000"/>
    <n v="60000"/>
    <x v="1"/>
    <x v="2"/>
    <x v="2"/>
  </r>
  <r>
    <x v="492"/>
    <x v="255"/>
    <x v="5"/>
    <x v="9"/>
    <n v="1"/>
    <n v="20000"/>
    <n v="20000"/>
    <x v="2"/>
    <x v="3"/>
    <x v="3"/>
  </r>
  <r>
    <x v="493"/>
    <x v="40"/>
    <x v="6"/>
    <x v="5"/>
    <n v="2"/>
    <n v="10000"/>
    <n v="20000"/>
    <x v="1"/>
    <x v="0"/>
    <x v="0"/>
  </r>
  <r>
    <x v="494"/>
    <x v="232"/>
    <x v="4"/>
    <x v="7"/>
    <n v="1"/>
    <n v="5000"/>
    <n v="5000"/>
    <x v="2"/>
    <x v="2"/>
    <x v="2"/>
  </r>
  <r>
    <x v="495"/>
    <x v="12"/>
    <x v="7"/>
    <x v="1"/>
    <n v="3"/>
    <n v="15000"/>
    <n v="45000"/>
    <x v="1"/>
    <x v="1"/>
    <x v="1"/>
  </r>
  <r>
    <x v="496"/>
    <x v="183"/>
    <x v="6"/>
    <x v="7"/>
    <n v="4"/>
    <n v="10000"/>
    <n v="40000"/>
    <x v="1"/>
    <x v="1"/>
    <x v="1"/>
  </r>
  <r>
    <x v="497"/>
    <x v="256"/>
    <x v="5"/>
    <x v="0"/>
    <n v="3"/>
    <n v="15000"/>
    <n v="45000"/>
    <x v="1"/>
    <x v="3"/>
    <x v="2"/>
  </r>
  <r>
    <x v="498"/>
    <x v="12"/>
    <x v="2"/>
    <x v="5"/>
    <n v="1"/>
    <n v="10000"/>
    <n v="10000"/>
    <x v="2"/>
    <x v="2"/>
    <x v="2"/>
  </r>
  <r>
    <x v="499"/>
    <x v="257"/>
    <x v="0"/>
    <x v="7"/>
    <n v="4"/>
    <n v="5000"/>
    <n v="20000"/>
    <x v="3"/>
    <x v="1"/>
    <x v="1"/>
  </r>
  <r>
    <x v="500"/>
    <x v="258"/>
    <x v="0"/>
    <x v="2"/>
    <n v="5"/>
    <n v="5000"/>
    <n v="25000"/>
    <x v="0"/>
    <x v="3"/>
    <x v="3"/>
  </r>
  <r>
    <x v="501"/>
    <x v="220"/>
    <x v="1"/>
    <x v="0"/>
    <n v="1"/>
    <n v="5000"/>
    <n v="5000"/>
    <x v="0"/>
    <x v="3"/>
    <x v="3"/>
  </r>
  <r>
    <x v="502"/>
    <x v="38"/>
    <x v="10"/>
    <x v="8"/>
    <n v="5"/>
    <n v="10000"/>
    <n v="50000"/>
    <x v="0"/>
    <x v="3"/>
    <x v="3"/>
  </r>
  <r>
    <x v="503"/>
    <x v="12"/>
    <x v="2"/>
    <x v="4"/>
    <n v="2"/>
    <n v="20000"/>
    <n v="40000"/>
    <x v="1"/>
    <x v="0"/>
    <x v="0"/>
  </r>
  <r>
    <x v="504"/>
    <x v="219"/>
    <x v="7"/>
    <x v="7"/>
    <n v="1"/>
    <n v="10000"/>
    <n v="10000"/>
    <x v="2"/>
    <x v="2"/>
    <x v="2"/>
  </r>
  <r>
    <x v="505"/>
    <x v="12"/>
    <x v="10"/>
    <x v="8"/>
    <n v="3"/>
    <n v="5000"/>
    <n v="15000"/>
    <x v="0"/>
    <x v="2"/>
    <x v="2"/>
  </r>
  <r>
    <x v="506"/>
    <x v="241"/>
    <x v="6"/>
    <x v="3"/>
    <n v="1"/>
    <n v="15000"/>
    <n v="15000"/>
    <x v="2"/>
    <x v="1"/>
    <x v="1"/>
  </r>
  <r>
    <x v="507"/>
    <x v="226"/>
    <x v="3"/>
    <x v="2"/>
    <n v="4"/>
    <n v="10000"/>
    <n v="40000"/>
    <x v="1"/>
    <x v="3"/>
    <x v="3"/>
  </r>
  <r>
    <x v="508"/>
    <x v="72"/>
    <x v="4"/>
    <x v="7"/>
    <n v="1"/>
    <n v="10000"/>
    <n v="10000"/>
    <x v="0"/>
    <x v="0"/>
    <x v="0"/>
  </r>
  <r>
    <x v="509"/>
    <x v="259"/>
    <x v="2"/>
    <x v="5"/>
    <n v="2"/>
    <n v="10000"/>
    <n v="20000"/>
    <x v="2"/>
    <x v="0"/>
    <x v="0"/>
  </r>
  <r>
    <x v="510"/>
    <x v="223"/>
    <x v="0"/>
    <x v="0"/>
    <n v="4"/>
    <n v="15000"/>
    <n v="60000"/>
    <x v="1"/>
    <x v="2"/>
    <x v="2"/>
  </r>
  <r>
    <x v="511"/>
    <x v="117"/>
    <x v="10"/>
    <x v="6"/>
    <n v="3"/>
    <n v="10000"/>
    <n v="30000"/>
    <x v="0"/>
    <x v="3"/>
    <x v="3"/>
  </r>
  <r>
    <x v="512"/>
    <x v="260"/>
    <x v="6"/>
    <x v="3"/>
    <n v="3"/>
    <n v="15000"/>
    <n v="45000"/>
    <x v="0"/>
    <x v="1"/>
    <x v="1"/>
  </r>
  <r>
    <x v="513"/>
    <x v="220"/>
    <x v="1"/>
    <x v="2"/>
    <n v="4"/>
    <n v="15000"/>
    <n v="60000"/>
    <x v="3"/>
    <x v="0"/>
    <x v="0"/>
  </r>
  <r>
    <x v="514"/>
    <x v="12"/>
    <x v="4"/>
    <x v="7"/>
    <n v="4"/>
    <n v="5000"/>
    <n v="20000"/>
    <x v="3"/>
    <x v="1"/>
    <x v="1"/>
  </r>
  <r>
    <x v="515"/>
    <x v="97"/>
    <x v="7"/>
    <x v="2"/>
    <n v="5"/>
    <n v="10000"/>
    <n v="50000"/>
    <x v="1"/>
    <x v="2"/>
    <x v="2"/>
  </r>
  <r>
    <x v="516"/>
    <x v="71"/>
    <x v="4"/>
    <x v="7"/>
    <n v="3"/>
    <n v="5000"/>
    <n v="15000"/>
    <x v="2"/>
    <x v="1"/>
    <x v="1"/>
  </r>
  <r>
    <x v="517"/>
    <x v="12"/>
    <x v="3"/>
    <x v="0"/>
    <n v="5"/>
    <n v="15000"/>
    <n v="75000"/>
    <x v="1"/>
    <x v="1"/>
    <x v="1"/>
  </r>
  <r>
    <x v="518"/>
    <x v="105"/>
    <x v="1"/>
    <x v="1"/>
    <n v="3"/>
    <n v="15000"/>
    <n v="45000"/>
    <x v="1"/>
    <x v="1"/>
    <x v="1"/>
  </r>
  <r>
    <x v="519"/>
    <x v="217"/>
    <x v="5"/>
    <x v="3"/>
    <n v="3"/>
    <n v="12500"/>
    <n v="37500"/>
    <x v="2"/>
    <x v="4"/>
    <x v="4"/>
  </r>
  <r>
    <x v="520"/>
    <x v="161"/>
    <x v="10"/>
    <x v="4"/>
    <n v="1"/>
    <n v="20000"/>
    <n v="20000"/>
    <x v="2"/>
    <x v="2"/>
    <x v="2"/>
  </r>
  <r>
    <x v="521"/>
    <x v="261"/>
    <x v="2"/>
    <x v="2"/>
    <n v="1"/>
    <n v="5000"/>
    <n v="5000"/>
    <x v="0"/>
    <x v="4"/>
    <x v="4"/>
  </r>
  <r>
    <x v="522"/>
    <x v="12"/>
    <x v="8"/>
    <x v="7"/>
    <n v="3"/>
    <n v="20000"/>
    <n v="60000"/>
    <x v="0"/>
    <x v="3"/>
    <x v="2"/>
  </r>
  <r>
    <x v="523"/>
    <x v="64"/>
    <x v="7"/>
    <x v="4"/>
    <n v="3"/>
    <n v="15000"/>
    <n v="45000"/>
    <x v="2"/>
    <x v="4"/>
    <x v="4"/>
  </r>
  <r>
    <x v="524"/>
    <x v="69"/>
    <x v="8"/>
    <x v="9"/>
    <n v="2"/>
    <n v="12500"/>
    <n v="25000"/>
    <x v="0"/>
    <x v="3"/>
    <x v="2"/>
  </r>
  <r>
    <x v="525"/>
    <x v="178"/>
    <x v="0"/>
    <x v="8"/>
    <n v="2"/>
    <n v="10000"/>
    <n v="20000"/>
    <x v="2"/>
    <x v="0"/>
    <x v="0"/>
  </r>
  <r>
    <x v="526"/>
    <x v="101"/>
    <x v="0"/>
    <x v="6"/>
    <n v="5"/>
    <n v="10000"/>
    <n v="50000"/>
    <x v="2"/>
    <x v="4"/>
    <x v="4"/>
  </r>
  <r>
    <x v="527"/>
    <x v="262"/>
    <x v="9"/>
    <x v="4"/>
    <n v="2"/>
    <n v="15000"/>
    <n v="30000"/>
    <x v="1"/>
    <x v="3"/>
    <x v="3"/>
  </r>
  <r>
    <x v="528"/>
    <x v="263"/>
    <x v="5"/>
    <x v="4"/>
    <n v="3"/>
    <n v="10000"/>
    <n v="30000"/>
    <x v="2"/>
    <x v="2"/>
    <x v="2"/>
  </r>
  <r>
    <x v="529"/>
    <x v="189"/>
    <x v="0"/>
    <x v="6"/>
    <n v="3"/>
    <n v="5000"/>
    <n v="15000"/>
    <x v="3"/>
    <x v="3"/>
    <x v="3"/>
  </r>
  <r>
    <x v="530"/>
    <x v="264"/>
    <x v="6"/>
    <x v="0"/>
    <n v="3"/>
    <n v="5000"/>
    <n v="15000"/>
    <x v="0"/>
    <x v="1"/>
    <x v="1"/>
  </r>
  <r>
    <x v="531"/>
    <x v="254"/>
    <x v="10"/>
    <x v="0"/>
    <n v="5"/>
    <n v="20000"/>
    <n v="100000"/>
    <x v="3"/>
    <x v="4"/>
    <x v="4"/>
  </r>
  <r>
    <x v="532"/>
    <x v="265"/>
    <x v="8"/>
    <x v="6"/>
    <n v="4"/>
    <n v="15000"/>
    <n v="60000"/>
    <x v="2"/>
    <x v="4"/>
    <x v="4"/>
  </r>
  <r>
    <x v="533"/>
    <x v="266"/>
    <x v="0"/>
    <x v="2"/>
    <n v="3"/>
    <n v="10000"/>
    <n v="30000"/>
    <x v="3"/>
    <x v="2"/>
    <x v="2"/>
  </r>
  <r>
    <x v="534"/>
    <x v="267"/>
    <x v="9"/>
    <x v="6"/>
    <n v="1"/>
    <n v="15000"/>
    <n v="15000"/>
    <x v="1"/>
    <x v="3"/>
    <x v="3"/>
  </r>
  <r>
    <x v="535"/>
    <x v="31"/>
    <x v="7"/>
    <x v="3"/>
    <n v="2"/>
    <n v="12500"/>
    <n v="25000"/>
    <x v="2"/>
    <x v="1"/>
    <x v="1"/>
  </r>
  <r>
    <x v="536"/>
    <x v="71"/>
    <x v="5"/>
    <x v="3"/>
    <n v="1"/>
    <n v="12500"/>
    <n v="12500"/>
    <x v="0"/>
    <x v="4"/>
    <x v="4"/>
  </r>
  <r>
    <x v="537"/>
    <x v="47"/>
    <x v="2"/>
    <x v="1"/>
    <n v="4"/>
    <n v="10000"/>
    <n v="40000"/>
    <x v="0"/>
    <x v="3"/>
    <x v="3"/>
  </r>
  <r>
    <x v="538"/>
    <x v="12"/>
    <x v="8"/>
    <x v="8"/>
    <n v="4"/>
    <n v="12500"/>
    <n v="50000"/>
    <x v="3"/>
    <x v="3"/>
    <x v="3"/>
  </r>
  <r>
    <x v="539"/>
    <x v="108"/>
    <x v="5"/>
    <x v="2"/>
    <n v="3"/>
    <n v="10000"/>
    <n v="30000"/>
    <x v="0"/>
    <x v="3"/>
    <x v="3"/>
  </r>
  <r>
    <x v="540"/>
    <x v="0"/>
    <x v="10"/>
    <x v="0"/>
    <n v="5"/>
    <n v="10000"/>
    <n v="50000"/>
    <x v="0"/>
    <x v="3"/>
    <x v="3"/>
  </r>
  <r>
    <x v="541"/>
    <x v="45"/>
    <x v="6"/>
    <x v="9"/>
    <n v="3"/>
    <n v="10000"/>
    <n v="30000"/>
    <x v="2"/>
    <x v="3"/>
    <x v="3"/>
  </r>
  <r>
    <x v="542"/>
    <x v="268"/>
    <x v="6"/>
    <x v="5"/>
    <n v="3"/>
    <n v="10000"/>
    <n v="30000"/>
    <x v="0"/>
    <x v="0"/>
    <x v="0"/>
  </r>
  <r>
    <x v="543"/>
    <x v="237"/>
    <x v="5"/>
    <x v="6"/>
    <n v="2"/>
    <n v="12500"/>
    <n v="25000"/>
    <x v="2"/>
    <x v="0"/>
    <x v="0"/>
  </r>
  <r>
    <x v="544"/>
    <x v="269"/>
    <x v="2"/>
    <x v="9"/>
    <n v="2"/>
    <n v="10000"/>
    <n v="20000"/>
    <x v="1"/>
    <x v="2"/>
    <x v="2"/>
  </r>
  <r>
    <x v="545"/>
    <x v="159"/>
    <x v="4"/>
    <x v="4"/>
    <n v="5"/>
    <n v="5000"/>
    <n v="25000"/>
    <x v="1"/>
    <x v="4"/>
    <x v="4"/>
  </r>
  <r>
    <x v="546"/>
    <x v="270"/>
    <x v="2"/>
    <x v="8"/>
    <n v="2"/>
    <n v="10000"/>
    <n v="20000"/>
    <x v="2"/>
    <x v="3"/>
    <x v="3"/>
  </r>
  <r>
    <x v="547"/>
    <x v="161"/>
    <x v="10"/>
    <x v="8"/>
    <n v="2"/>
    <n v="15000"/>
    <n v="30000"/>
    <x v="1"/>
    <x v="3"/>
    <x v="3"/>
  </r>
  <r>
    <x v="548"/>
    <x v="33"/>
    <x v="10"/>
    <x v="7"/>
    <n v="3"/>
    <n v="5000"/>
    <n v="15000"/>
    <x v="3"/>
    <x v="4"/>
    <x v="4"/>
  </r>
  <r>
    <x v="549"/>
    <x v="271"/>
    <x v="2"/>
    <x v="3"/>
    <n v="5"/>
    <n v="10000"/>
    <n v="50000"/>
    <x v="1"/>
    <x v="4"/>
    <x v="4"/>
  </r>
  <r>
    <x v="550"/>
    <x v="272"/>
    <x v="7"/>
    <x v="0"/>
    <n v="3"/>
    <n v="20000"/>
    <n v="60000"/>
    <x v="3"/>
    <x v="4"/>
    <x v="4"/>
  </r>
  <r>
    <x v="551"/>
    <x v="273"/>
    <x v="0"/>
    <x v="5"/>
    <n v="2"/>
    <n v="12500"/>
    <n v="25000"/>
    <x v="3"/>
    <x v="4"/>
    <x v="4"/>
  </r>
  <r>
    <x v="552"/>
    <x v="123"/>
    <x v="2"/>
    <x v="0"/>
    <n v="1"/>
    <n v="10000"/>
    <n v="10000"/>
    <x v="3"/>
    <x v="1"/>
    <x v="1"/>
  </r>
  <r>
    <x v="553"/>
    <x v="143"/>
    <x v="5"/>
    <x v="8"/>
    <n v="4"/>
    <n v="5000"/>
    <n v="20000"/>
    <x v="3"/>
    <x v="2"/>
    <x v="2"/>
  </r>
  <r>
    <x v="554"/>
    <x v="115"/>
    <x v="6"/>
    <x v="6"/>
    <n v="4"/>
    <n v="10000"/>
    <n v="40000"/>
    <x v="3"/>
    <x v="2"/>
    <x v="2"/>
  </r>
  <r>
    <x v="555"/>
    <x v="163"/>
    <x v="7"/>
    <x v="1"/>
    <n v="1"/>
    <n v="5000"/>
    <n v="5000"/>
    <x v="1"/>
    <x v="3"/>
    <x v="3"/>
  </r>
  <r>
    <x v="556"/>
    <x v="81"/>
    <x v="1"/>
    <x v="8"/>
    <n v="1"/>
    <n v="12500"/>
    <n v="12500"/>
    <x v="3"/>
    <x v="2"/>
    <x v="2"/>
  </r>
  <r>
    <x v="557"/>
    <x v="35"/>
    <x v="9"/>
    <x v="4"/>
    <n v="1"/>
    <n v="12500"/>
    <n v="12500"/>
    <x v="3"/>
    <x v="3"/>
    <x v="3"/>
  </r>
  <r>
    <x v="558"/>
    <x v="159"/>
    <x v="5"/>
    <x v="9"/>
    <n v="3"/>
    <n v="10000"/>
    <n v="30000"/>
    <x v="3"/>
    <x v="0"/>
    <x v="0"/>
  </r>
  <r>
    <x v="559"/>
    <x v="38"/>
    <x v="4"/>
    <x v="4"/>
    <n v="5"/>
    <n v="20000"/>
    <n v="100000"/>
    <x v="0"/>
    <x v="1"/>
    <x v="1"/>
  </r>
  <r>
    <x v="560"/>
    <x v="190"/>
    <x v="8"/>
    <x v="6"/>
    <n v="1"/>
    <n v="5000"/>
    <n v="5000"/>
    <x v="1"/>
    <x v="3"/>
    <x v="0"/>
  </r>
  <r>
    <x v="561"/>
    <x v="68"/>
    <x v="3"/>
    <x v="5"/>
    <n v="3"/>
    <n v="15000"/>
    <n v="45000"/>
    <x v="2"/>
    <x v="3"/>
    <x v="3"/>
  </r>
  <r>
    <x v="562"/>
    <x v="12"/>
    <x v="7"/>
    <x v="0"/>
    <n v="3"/>
    <n v="10000"/>
    <n v="30000"/>
    <x v="2"/>
    <x v="3"/>
    <x v="3"/>
  </r>
  <r>
    <x v="563"/>
    <x v="96"/>
    <x v="10"/>
    <x v="8"/>
    <n v="1"/>
    <n v="15000"/>
    <n v="15000"/>
    <x v="3"/>
    <x v="4"/>
    <x v="4"/>
  </r>
  <r>
    <x v="564"/>
    <x v="274"/>
    <x v="1"/>
    <x v="6"/>
    <n v="2"/>
    <n v="15000"/>
    <n v="30000"/>
    <x v="2"/>
    <x v="2"/>
    <x v="2"/>
  </r>
  <r>
    <x v="565"/>
    <x v="148"/>
    <x v="10"/>
    <x v="9"/>
    <n v="1"/>
    <n v="15000"/>
    <n v="15000"/>
    <x v="3"/>
    <x v="0"/>
    <x v="0"/>
  </r>
  <r>
    <x v="566"/>
    <x v="87"/>
    <x v="2"/>
    <x v="8"/>
    <n v="5"/>
    <n v="20000"/>
    <n v="100000"/>
    <x v="0"/>
    <x v="4"/>
    <x v="4"/>
  </r>
  <r>
    <x v="567"/>
    <x v="143"/>
    <x v="0"/>
    <x v="5"/>
    <n v="4"/>
    <n v="15000"/>
    <n v="60000"/>
    <x v="3"/>
    <x v="1"/>
    <x v="1"/>
  </r>
  <r>
    <x v="568"/>
    <x v="275"/>
    <x v="3"/>
    <x v="2"/>
    <n v="3"/>
    <n v="10000"/>
    <n v="30000"/>
    <x v="3"/>
    <x v="1"/>
    <x v="1"/>
  </r>
  <r>
    <x v="569"/>
    <x v="156"/>
    <x v="5"/>
    <x v="5"/>
    <n v="4"/>
    <n v="15000"/>
    <n v="60000"/>
    <x v="0"/>
    <x v="2"/>
    <x v="2"/>
  </r>
  <r>
    <x v="570"/>
    <x v="70"/>
    <x v="7"/>
    <x v="1"/>
    <n v="2"/>
    <n v="5000"/>
    <n v="10000"/>
    <x v="2"/>
    <x v="2"/>
    <x v="2"/>
  </r>
  <r>
    <x v="571"/>
    <x v="230"/>
    <x v="7"/>
    <x v="7"/>
    <n v="3"/>
    <n v="12500"/>
    <n v="37500"/>
    <x v="0"/>
    <x v="3"/>
    <x v="3"/>
  </r>
  <r>
    <x v="572"/>
    <x v="129"/>
    <x v="0"/>
    <x v="5"/>
    <n v="3"/>
    <n v="10000"/>
    <n v="30000"/>
    <x v="1"/>
    <x v="2"/>
    <x v="2"/>
  </r>
  <r>
    <x v="573"/>
    <x v="217"/>
    <x v="2"/>
    <x v="4"/>
    <n v="3"/>
    <n v="20000"/>
    <n v="60000"/>
    <x v="0"/>
    <x v="1"/>
    <x v="1"/>
  </r>
  <r>
    <x v="574"/>
    <x v="241"/>
    <x v="5"/>
    <x v="5"/>
    <n v="2"/>
    <n v="10000"/>
    <n v="20000"/>
    <x v="0"/>
    <x v="0"/>
    <x v="0"/>
  </r>
  <r>
    <x v="575"/>
    <x v="10"/>
    <x v="0"/>
    <x v="6"/>
    <n v="5"/>
    <n v="20000"/>
    <n v="100000"/>
    <x v="0"/>
    <x v="4"/>
    <x v="4"/>
  </r>
  <r>
    <x v="576"/>
    <x v="276"/>
    <x v="6"/>
    <x v="7"/>
    <n v="3"/>
    <n v="10000"/>
    <n v="30000"/>
    <x v="0"/>
    <x v="4"/>
    <x v="4"/>
  </r>
  <r>
    <x v="577"/>
    <x v="210"/>
    <x v="5"/>
    <x v="3"/>
    <n v="4"/>
    <n v="20000"/>
    <n v="80000"/>
    <x v="3"/>
    <x v="4"/>
    <x v="4"/>
  </r>
  <r>
    <x v="578"/>
    <x v="50"/>
    <x v="7"/>
    <x v="6"/>
    <n v="3"/>
    <n v="20000"/>
    <n v="60000"/>
    <x v="2"/>
    <x v="3"/>
    <x v="3"/>
  </r>
  <r>
    <x v="579"/>
    <x v="12"/>
    <x v="9"/>
    <x v="1"/>
    <n v="3"/>
    <n v="15000"/>
    <n v="45000"/>
    <x v="1"/>
    <x v="4"/>
    <x v="4"/>
  </r>
  <r>
    <x v="580"/>
    <x v="251"/>
    <x v="9"/>
    <x v="1"/>
    <n v="3"/>
    <n v="20000"/>
    <n v="60000"/>
    <x v="0"/>
    <x v="3"/>
    <x v="3"/>
  </r>
  <r>
    <x v="581"/>
    <x v="138"/>
    <x v="7"/>
    <x v="1"/>
    <n v="5"/>
    <n v="10000"/>
    <n v="50000"/>
    <x v="2"/>
    <x v="2"/>
    <x v="2"/>
  </r>
  <r>
    <x v="582"/>
    <x v="249"/>
    <x v="9"/>
    <x v="3"/>
    <n v="1"/>
    <n v="20000"/>
    <n v="20000"/>
    <x v="0"/>
    <x v="2"/>
    <x v="2"/>
  </r>
  <r>
    <x v="583"/>
    <x v="256"/>
    <x v="5"/>
    <x v="8"/>
    <n v="3"/>
    <n v="10000"/>
    <n v="30000"/>
    <x v="3"/>
    <x v="0"/>
    <x v="0"/>
  </r>
  <r>
    <x v="584"/>
    <x v="277"/>
    <x v="9"/>
    <x v="6"/>
    <n v="2"/>
    <n v="15000"/>
    <n v="30000"/>
    <x v="1"/>
    <x v="1"/>
    <x v="1"/>
  </r>
  <r>
    <x v="585"/>
    <x v="134"/>
    <x v="0"/>
    <x v="3"/>
    <n v="3"/>
    <n v="15000"/>
    <n v="45000"/>
    <x v="3"/>
    <x v="2"/>
    <x v="2"/>
  </r>
  <r>
    <x v="586"/>
    <x v="261"/>
    <x v="5"/>
    <x v="5"/>
    <n v="2"/>
    <n v="20000"/>
    <n v="40000"/>
    <x v="1"/>
    <x v="4"/>
    <x v="4"/>
  </r>
  <r>
    <x v="587"/>
    <x v="12"/>
    <x v="9"/>
    <x v="7"/>
    <n v="4"/>
    <n v="10000"/>
    <n v="40000"/>
    <x v="3"/>
    <x v="0"/>
    <x v="0"/>
  </r>
  <r>
    <x v="588"/>
    <x v="278"/>
    <x v="5"/>
    <x v="3"/>
    <n v="4"/>
    <n v="15000"/>
    <n v="60000"/>
    <x v="1"/>
    <x v="3"/>
    <x v="3"/>
  </r>
  <r>
    <x v="589"/>
    <x v="29"/>
    <x v="7"/>
    <x v="7"/>
    <n v="5"/>
    <n v="10000"/>
    <n v="50000"/>
    <x v="0"/>
    <x v="1"/>
    <x v="1"/>
  </r>
  <r>
    <x v="590"/>
    <x v="151"/>
    <x v="5"/>
    <x v="9"/>
    <n v="1"/>
    <n v="15000"/>
    <n v="15000"/>
    <x v="0"/>
    <x v="2"/>
    <x v="2"/>
  </r>
  <r>
    <x v="591"/>
    <x v="279"/>
    <x v="0"/>
    <x v="4"/>
    <n v="3"/>
    <n v="20000"/>
    <n v="60000"/>
    <x v="2"/>
    <x v="2"/>
    <x v="2"/>
  </r>
  <r>
    <x v="592"/>
    <x v="229"/>
    <x v="7"/>
    <x v="3"/>
    <n v="2"/>
    <n v="5000"/>
    <n v="10000"/>
    <x v="2"/>
    <x v="0"/>
    <x v="0"/>
  </r>
  <r>
    <x v="593"/>
    <x v="280"/>
    <x v="2"/>
    <x v="4"/>
    <n v="4"/>
    <n v="20000"/>
    <n v="80000"/>
    <x v="1"/>
    <x v="0"/>
    <x v="0"/>
  </r>
  <r>
    <x v="594"/>
    <x v="12"/>
    <x v="10"/>
    <x v="8"/>
    <n v="3"/>
    <n v="15000"/>
    <n v="45000"/>
    <x v="1"/>
    <x v="1"/>
    <x v="1"/>
  </r>
  <r>
    <x v="595"/>
    <x v="12"/>
    <x v="8"/>
    <x v="7"/>
    <n v="3"/>
    <n v="10000"/>
    <n v="30000"/>
    <x v="1"/>
    <x v="2"/>
    <x v="2"/>
  </r>
  <r>
    <x v="596"/>
    <x v="281"/>
    <x v="4"/>
    <x v="2"/>
    <n v="4"/>
    <n v="10000"/>
    <n v="40000"/>
    <x v="1"/>
    <x v="4"/>
    <x v="4"/>
  </r>
  <r>
    <x v="597"/>
    <x v="149"/>
    <x v="4"/>
    <x v="1"/>
    <n v="2"/>
    <n v="12500"/>
    <n v="25000"/>
    <x v="2"/>
    <x v="4"/>
    <x v="4"/>
  </r>
  <r>
    <x v="598"/>
    <x v="282"/>
    <x v="9"/>
    <x v="5"/>
    <n v="1"/>
    <n v="5000"/>
    <n v="5000"/>
    <x v="0"/>
    <x v="2"/>
    <x v="2"/>
  </r>
  <r>
    <x v="599"/>
    <x v="283"/>
    <x v="8"/>
    <x v="9"/>
    <n v="3"/>
    <n v="15000"/>
    <n v="45000"/>
    <x v="2"/>
    <x v="3"/>
    <x v="3"/>
  </r>
  <r>
    <x v="600"/>
    <x v="231"/>
    <x v="3"/>
    <x v="0"/>
    <n v="4"/>
    <n v="12500"/>
    <n v="50000"/>
    <x v="0"/>
    <x v="2"/>
    <x v="2"/>
  </r>
  <r>
    <x v="601"/>
    <x v="138"/>
    <x v="7"/>
    <x v="1"/>
    <n v="4"/>
    <n v="15000"/>
    <n v="60000"/>
    <x v="1"/>
    <x v="4"/>
    <x v="4"/>
  </r>
  <r>
    <x v="602"/>
    <x v="156"/>
    <x v="2"/>
    <x v="3"/>
    <n v="5"/>
    <n v="20000"/>
    <n v="100000"/>
    <x v="1"/>
    <x v="1"/>
    <x v="1"/>
  </r>
  <r>
    <x v="603"/>
    <x v="149"/>
    <x v="4"/>
    <x v="9"/>
    <n v="3"/>
    <n v="15000"/>
    <n v="45000"/>
    <x v="1"/>
    <x v="1"/>
    <x v="1"/>
  </r>
  <r>
    <x v="604"/>
    <x v="284"/>
    <x v="10"/>
    <x v="5"/>
    <n v="3"/>
    <n v="15000"/>
    <n v="45000"/>
    <x v="3"/>
    <x v="2"/>
    <x v="2"/>
  </r>
  <r>
    <x v="605"/>
    <x v="185"/>
    <x v="6"/>
    <x v="8"/>
    <n v="3"/>
    <n v="12500"/>
    <n v="37500"/>
    <x v="1"/>
    <x v="3"/>
    <x v="2"/>
  </r>
  <r>
    <x v="606"/>
    <x v="285"/>
    <x v="5"/>
    <x v="8"/>
    <n v="3"/>
    <n v="20000"/>
    <n v="60000"/>
    <x v="2"/>
    <x v="2"/>
    <x v="2"/>
  </r>
  <r>
    <x v="607"/>
    <x v="261"/>
    <x v="9"/>
    <x v="7"/>
    <n v="2"/>
    <n v="20000"/>
    <n v="40000"/>
    <x v="0"/>
    <x v="0"/>
    <x v="0"/>
  </r>
  <r>
    <x v="608"/>
    <x v="286"/>
    <x v="7"/>
    <x v="2"/>
    <n v="4"/>
    <n v="5000"/>
    <n v="20000"/>
    <x v="0"/>
    <x v="0"/>
    <x v="0"/>
  </r>
  <r>
    <x v="609"/>
    <x v="149"/>
    <x v="9"/>
    <x v="5"/>
    <n v="1"/>
    <n v="15000"/>
    <n v="15000"/>
    <x v="1"/>
    <x v="2"/>
    <x v="2"/>
  </r>
  <r>
    <x v="610"/>
    <x v="199"/>
    <x v="4"/>
    <x v="2"/>
    <n v="4"/>
    <n v="15000"/>
    <n v="60000"/>
    <x v="3"/>
    <x v="0"/>
    <x v="0"/>
  </r>
  <r>
    <x v="611"/>
    <x v="47"/>
    <x v="9"/>
    <x v="2"/>
    <n v="1"/>
    <n v="20000"/>
    <n v="20000"/>
    <x v="2"/>
    <x v="2"/>
    <x v="2"/>
  </r>
  <r>
    <x v="612"/>
    <x v="223"/>
    <x v="5"/>
    <x v="8"/>
    <n v="3"/>
    <n v="15000"/>
    <n v="45000"/>
    <x v="3"/>
    <x v="0"/>
    <x v="0"/>
  </r>
  <r>
    <x v="613"/>
    <x v="140"/>
    <x v="3"/>
    <x v="2"/>
    <n v="2"/>
    <n v="15000"/>
    <n v="30000"/>
    <x v="2"/>
    <x v="3"/>
    <x v="3"/>
  </r>
  <r>
    <x v="614"/>
    <x v="287"/>
    <x v="8"/>
    <x v="9"/>
    <n v="2"/>
    <n v="10000"/>
    <n v="20000"/>
    <x v="1"/>
    <x v="3"/>
    <x v="3"/>
  </r>
  <r>
    <x v="615"/>
    <x v="12"/>
    <x v="6"/>
    <x v="0"/>
    <n v="3"/>
    <n v="20000"/>
    <n v="60000"/>
    <x v="0"/>
    <x v="3"/>
    <x v="3"/>
  </r>
  <r>
    <x v="616"/>
    <x v="201"/>
    <x v="7"/>
    <x v="9"/>
    <n v="2"/>
    <n v="12500"/>
    <n v="25000"/>
    <x v="1"/>
    <x v="3"/>
    <x v="3"/>
  </r>
  <r>
    <x v="617"/>
    <x v="40"/>
    <x v="3"/>
    <x v="0"/>
    <n v="5"/>
    <n v="5000"/>
    <n v="25000"/>
    <x v="1"/>
    <x v="0"/>
    <x v="0"/>
  </r>
  <r>
    <x v="618"/>
    <x v="118"/>
    <x v="8"/>
    <x v="2"/>
    <n v="3"/>
    <n v="12500"/>
    <n v="37500"/>
    <x v="0"/>
    <x v="4"/>
    <x v="4"/>
  </r>
  <r>
    <x v="619"/>
    <x v="2"/>
    <x v="5"/>
    <x v="3"/>
    <n v="4"/>
    <n v="15000"/>
    <n v="60000"/>
    <x v="0"/>
    <x v="3"/>
    <x v="3"/>
  </r>
  <r>
    <x v="620"/>
    <x v="77"/>
    <x v="7"/>
    <x v="5"/>
    <n v="2"/>
    <n v="10000"/>
    <n v="20000"/>
    <x v="3"/>
    <x v="2"/>
    <x v="2"/>
  </r>
  <r>
    <x v="621"/>
    <x v="288"/>
    <x v="0"/>
    <x v="4"/>
    <n v="1"/>
    <n v="5000"/>
    <n v="5000"/>
    <x v="2"/>
    <x v="3"/>
    <x v="2"/>
  </r>
  <r>
    <x v="622"/>
    <x v="66"/>
    <x v="9"/>
    <x v="7"/>
    <n v="3"/>
    <n v="10000"/>
    <n v="30000"/>
    <x v="2"/>
    <x v="2"/>
    <x v="2"/>
  </r>
  <r>
    <x v="623"/>
    <x v="289"/>
    <x v="7"/>
    <x v="7"/>
    <n v="3"/>
    <n v="15000"/>
    <n v="45000"/>
    <x v="0"/>
    <x v="2"/>
    <x v="2"/>
  </r>
  <r>
    <x v="624"/>
    <x v="289"/>
    <x v="8"/>
    <x v="5"/>
    <n v="2"/>
    <n v="15000"/>
    <n v="30000"/>
    <x v="1"/>
    <x v="1"/>
    <x v="1"/>
  </r>
  <r>
    <x v="625"/>
    <x v="94"/>
    <x v="4"/>
    <x v="0"/>
    <n v="5"/>
    <n v="15000"/>
    <n v="75000"/>
    <x v="2"/>
    <x v="0"/>
    <x v="0"/>
  </r>
  <r>
    <x v="626"/>
    <x v="231"/>
    <x v="3"/>
    <x v="4"/>
    <n v="1"/>
    <n v="10000"/>
    <n v="10000"/>
    <x v="2"/>
    <x v="4"/>
    <x v="4"/>
  </r>
  <r>
    <x v="627"/>
    <x v="213"/>
    <x v="5"/>
    <x v="7"/>
    <n v="4"/>
    <n v="15000"/>
    <n v="60000"/>
    <x v="0"/>
    <x v="4"/>
    <x v="4"/>
  </r>
  <r>
    <x v="628"/>
    <x v="12"/>
    <x v="7"/>
    <x v="3"/>
    <n v="1"/>
    <n v="15000"/>
    <n v="15000"/>
    <x v="0"/>
    <x v="4"/>
    <x v="4"/>
  </r>
  <r>
    <x v="629"/>
    <x v="170"/>
    <x v="9"/>
    <x v="2"/>
    <n v="2"/>
    <n v="20000"/>
    <n v="40000"/>
    <x v="2"/>
    <x v="1"/>
    <x v="1"/>
  </r>
  <r>
    <x v="630"/>
    <x v="231"/>
    <x v="0"/>
    <x v="2"/>
    <n v="3"/>
    <n v="20000"/>
    <n v="60000"/>
    <x v="3"/>
    <x v="0"/>
    <x v="0"/>
  </r>
  <r>
    <x v="631"/>
    <x v="290"/>
    <x v="0"/>
    <x v="0"/>
    <n v="3"/>
    <n v="10000"/>
    <n v="30000"/>
    <x v="3"/>
    <x v="3"/>
    <x v="3"/>
  </r>
  <r>
    <x v="632"/>
    <x v="166"/>
    <x v="8"/>
    <x v="6"/>
    <n v="5"/>
    <n v="15000"/>
    <n v="75000"/>
    <x v="0"/>
    <x v="3"/>
    <x v="3"/>
  </r>
  <r>
    <x v="633"/>
    <x v="207"/>
    <x v="7"/>
    <x v="5"/>
    <n v="1"/>
    <n v="15000"/>
    <n v="15000"/>
    <x v="0"/>
    <x v="0"/>
    <x v="0"/>
  </r>
  <r>
    <x v="634"/>
    <x v="93"/>
    <x v="0"/>
    <x v="8"/>
    <n v="4"/>
    <n v="15000"/>
    <n v="60000"/>
    <x v="3"/>
    <x v="1"/>
    <x v="1"/>
  </r>
  <r>
    <x v="635"/>
    <x v="259"/>
    <x v="1"/>
    <x v="0"/>
    <n v="5"/>
    <n v="10000"/>
    <n v="50000"/>
    <x v="3"/>
    <x v="3"/>
    <x v="2"/>
  </r>
  <r>
    <x v="636"/>
    <x v="202"/>
    <x v="3"/>
    <x v="0"/>
    <n v="2"/>
    <n v="10000"/>
    <n v="20000"/>
    <x v="2"/>
    <x v="1"/>
    <x v="1"/>
  </r>
  <r>
    <x v="637"/>
    <x v="229"/>
    <x v="3"/>
    <x v="8"/>
    <n v="5"/>
    <n v="10000"/>
    <n v="50000"/>
    <x v="1"/>
    <x v="3"/>
    <x v="3"/>
  </r>
  <r>
    <x v="638"/>
    <x v="147"/>
    <x v="10"/>
    <x v="8"/>
    <n v="4"/>
    <n v="5000"/>
    <n v="20000"/>
    <x v="2"/>
    <x v="3"/>
    <x v="2"/>
  </r>
  <r>
    <x v="639"/>
    <x v="290"/>
    <x v="6"/>
    <x v="6"/>
    <n v="4"/>
    <n v="15000"/>
    <n v="60000"/>
    <x v="1"/>
    <x v="3"/>
    <x v="3"/>
  </r>
  <r>
    <x v="640"/>
    <x v="291"/>
    <x v="4"/>
    <x v="1"/>
    <n v="1"/>
    <n v="15000"/>
    <n v="15000"/>
    <x v="0"/>
    <x v="3"/>
    <x v="3"/>
  </r>
  <r>
    <x v="641"/>
    <x v="166"/>
    <x v="6"/>
    <x v="7"/>
    <n v="2"/>
    <n v="10000"/>
    <n v="20000"/>
    <x v="0"/>
    <x v="2"/>
    <x v="2"/>
  </r>
  <r>
    <x v="642"/>
    <x v="291"/>
    <x v="5"/>
    <x v="0"/>
    <n v="4"/>
    <n v="5000"/>
    <n v="20000"/>
    <x v="0"/>
    <x v="3"/>
    <x v="3"/>
  </r>
  <r>
    <x v="643"/>
    <x v="292"/>
    <x v="1"/>
    <x v="9"/>
    <n v="5"/>
    <n v="20000"/>
    <n v="100000"/>
    <x v="1"/>
    <x v="1"/>
    <x v="1"/>
  </r>
  <r>
    <x v="644"/>
    <x v="231"/>
    <x v="5"/>
    <x v="4"/>
    <n v="4"/>
    <n v="5000"/>
    <n v="20000"/>
    <x v="3"/>
    <x v="1"/>
    <x v="1"/>
  </r>
  <r>
    <x v="645"/>
    <x v="12"/>
    <x v="6"/>
    <x v="5"/>
    <n v="3"/>
    <n v="12500"/>
    <n v="37500"/>
    <x v="0"/>
    <x v="1"/>
    <x v="1"/>
  </r>
  <r>
    <x v="646"/>
    <x v="293"/>
    <x v="1"/>
    <x v="0"/>
    <n v="2"/>
    <n v="10000"/>
    <n v="20000"/>
    <x v="2"/>
    <x v="2"/>
    <x v="2"/>
  </r>
  <r>
    <x v="647"/>
    <x v="22"/>
    <x v="1"/>
    <x v="2"/>
    <n v="3"/>
    <n v="10000"/>
    <n v="30000"/>
    <x v="2"/>
    <x v="3"/>
    <x v="4"/>
  </r>
  <r>
    <x v="648"/>
    <x v="57"/>
    <x v="6"/>
    <x v="8"/>
    <n v="4"/>
    <n v="5000"/>
    <n v="20000"/>
    <x v="0"/>
    <x v="2"/>
    <x v="2"/>
  </r>
  <r>
    <x v="649"/>
    <x v="106"/>
    <x v="8"/>
    <x v="0"/>
    <n v="5"/>
    <n v="5000"/>
    <n v="25000"/>
    <x v="3"/>
    <x v="3"/>
    <x v="3"/>
  </r>
  <r>
    <x v="650"/>
    <x v="155"/>
    <x v="4"/>
    <x v="7"/>
    <n v="1"/>
    <n v="20000"/>
    <n v="20000"/>
    <x v="0"/>
    <x v="2"/>
    <x v="2"/>
  </r>
  <r>
    <x v="651"/>
    <x v="245"/>
    <x v="4"/>
    <x v="9"/>
    <n v="3"/>
    <n v="10000"/>
    <n v="30000"/>
    <x v="3"/>
    <x v="4"/>
    <x v="4"/>
  </r>
  <r>
    <x v="652"/>
    <x v="30"/>
    <x v="6"/>
    <x v="5"/>
    <n v="1"/>
    <n v="12500"/>
    <n v="12500"/>
    <x v="3"/>
    <x v="0"/>
    <x v="0"/>
  </r>
  <r>
    <x v="653"/>
    <x v="12"/>
    <x v="1"/>
    <x v="1"/>
    <n v="3"/>
    <n v="5000"/>
    <n v="15000"/>
    <x v="2"/>
    <x v="1"/>
    <x v="1"/>
  </r>
  <r>
    <x v="654"/>
    <x v="208"/>
    <x v="9"/>
    <x v="4"/>
    <n v="5"/>
    <n v="15000"/>
    <n v="75000"/>
    <x v="3"/>
    <x v="3"/>
    <x v="3"/>
  </r>
  <r>
    <x v="655"/>
    <x v="291"/>
    <x v="8"/>
    <x v="9"/>
    <n v="1"/>
    <n v="10000"/>
    <n v="10000"/>
    <x v="3"/>
    <x v="3"/>
    <x v="2"/>
  </r>
  <r>
    <x v="656"/>
    <x v="6"/>
    <x v="4"/>
    <x v="7"/>
    <n v="4"/>
    <n v="10000"/>
    <n v="40000"/>
    <x v="1"/>
    <x v="1"/>
    <x v="1"/>
  </r>
  <r>
    <x v="657"/>
    <x v="206"/>
    <x v="7"/>
    <x v="1"/>
    <n v="3"/>
    <n v="15000"/>
    <n v="45000"/>
    <x v="1"/>
    <x v="3"/>
    <x v="3"/>
  </r>
  <r>
    <x v="658"/>
    <x v="9"/>
    <x v="10"/>
    <x v="7"/>
    <n v="3"/>
    <n v="15000"/>
    <n v="45000"/>
    <x v="1"/>
    <x v="1"/>
    <x v="1"/>
  </r>
  <r>
    <x v="659"/>
    <x v="12"/>
    <x v="4"/>
    <x v="5"/>
    <n v="3"/>
    <n v="12500"/>
    <n v="37500"/>
    <x v="1"/>
    <x v="0"/>
    <x v="0"/>
  </r>
  <r>
    <x v="660"/>
    <x v="123"/>
    <x v="2"/>
    <x v="7"/>
    <n v="5"/>
    <n v="5000"/>
    <n v="25000"/>
    <x v="3"/>
    <x v="2"/>
    <x v="2"/>
  </r>
  <r>
    <x v="661"/>
    <x v="72"/>
    <x v="3"/>
    <x v="5"/>
    <n v="4"/>
    <n v="12500"/>
    <n v="50000"/>
    <x v="1"/>
    <x v="4"/>
    <x v="4"/>
  </r>
  <r>
    <x v="662"/>
    <x v="232"/>
    <x v="0"/>
    <x v="7"/>
    <n v="5"/>
    <n v="10000"/>
    <n v="50000"/>
    <x v="0"/>
    <x v="1"/>
    <x v="1"/>
  </r>
  <r>
    <x v="663"/>
    <x v="75"/>
    <x v="9"/>
    <x v="1"/>
    <n v="1"/>
    <n v="5000"/>
    <n v="5000"/>
    <x v="2"/>
    <x v="1"/>
    <x v="1"/>
  </r>
  <r>
    <x v="664"/>
    <x v="56"/>
    <x v="8"/>
    <x v="1"/>
    <n v="4"/>
    <n v="15000"/>
    <n v="60000"/>
    <x v="2"/>
    <x v="4"/>
    <x v="4"/>
  </r>
  <r>
    <x v="665"/>
    <x v="29"/>
    <x v="2"/>
    <x v="7"/>
    <n v="4"/>
    <n v="15000"/>
    <n v="60000"/>
    <x v="0"/>
    <x v="0"/>
    <x v="0"/>
  </r>
  <r>
    <x v="666"/>
    <x v="43"/>
    <x v="8"/>
    <x v="8"/>
    <n v="5"/>
    <n v="15000"/>
    <n v="75000"/>
    <x v="2"/>
    <x v="2"/>
    <x v="2"/>
  </r>
  <r>
    <x v="667"/>
    <x v="57"/>
    <x v="7"/>
    <x v="3"/>
    <n v="3"/>
    <n v="10000"/>
    <n v="30000"/>
    <x v="0"/>
    <x v="0"/>
    <x v="0"/>
  </r>
  <r>
    <x v="668"/>
    <x v="44"/>
    <x v="6"/>
    <x v="7"/>
    <n v="3"/>
    <n v="5000"/>
    <n v="15000"/>
    <x v="2"/>
    <x v="3"/>
    <x v="3"/>
  </r>
  <r>
    <x v="669"/>
    <x v="12"/>
    <x v="5"/>
    <x v="7"/>
    <n v="2"/>
    <n v="10000"/>
    <n v="20000"/>
    <x v="0"/>
    <x v="0"/>
    <x v="0"/>
  </r>
  <r>
    <x v="670"/>
    <x v="221"/>
    <x v="3"/>
    <x v="0"/>
    <n v="1"/>
    <n v="12500"/>
    <n v="12500"/>
    <x v="0"/>
    <x v="2"/>
    <x v="2"/>
  </r>
  <r>
    <x v="671"/>
    <x v="188"/>
    <x v="2"/>
    <x v="1"/>
    <n v="5"/>
    <n v="12500"/>
    <n v="62500"/>
    <x v="3"/>
    <x v="3"/>
    <x v="3"/>
  </r>
  <r>
    <x v="672"/>
    <x v="98"/>
    <x v="10"/>
    <x v="6"/>
    <n v="5"/>
    <n v="20000"/>
    <n v="100000"/>
    <x v="0"/>
    <x v="3"/>
    <x v="3"/>
  </r>
  <r>
    <x v="673"/>
    <x v="244"/>
    <x v="2"/>
    <x v="9"/>
    <n v="2"/>
    <n v="12500"/>
    <n v="25000"/>
    <x v="3"/>
    <x v="0"/>
    <x v="0"/>
  </r>
  <r>
    <x v="674"/>
    <x v="294"/>
    <x v="8"/>
    <x v="4"/>
    <n v="3"/>
    <n v="20000"/>
    <n v="60000"/>
    <x v="3"/>
    <x v="0"/>
    <x v="0"/>
  </r>
  <r>
    <x v="675"/>
    <x v="217"/>
    <x v="1"/>
    <x v="5"/>
    <n v="3"/>
    <n v="12500"/>
    <n v="37500"/>
    <x v="1"/>
    <x v="0"/>
    <x v="0"/>
  </r>
  <r>
    <x v="676"/>
    <x v="295"/>
    <x v="2"/>
    <x v="8"/>
    <n v="2"/>
    <n v="12500"/>
    <n v="25000"/>
    <x v="2"/>
    <x v="1"/>
    <x v="1"/>
  </r>
  <r>
    <x v="677"/>
    <x v="248"/>
    <x v="9"/>
    <x v="4"/>
    <n v="5"/>
    <n v="15000"/>
    <n v="75000"/>
    <x v="3"/>
    <x v="2"/>
    <x v="2"/>
  </r>
  <r>
    <x v="678"/>
    <x v="12"/>
    <x v="6"/>
    <x v="9"/>
    <n v="3"/>
    <n v="5000"/>
    <n v="15000"/>
    <x v="1"/>
    <x v="4"/>
    <x v="4"/>
  </r>
  <r>
    <x v="679"/>
    <x v="296"/>
    <x v="3"/>
    <x v="6"/>
    <n v="1"/>
    <n v="15000"/>
    <n v="15000"/>
    <x v="2"/>
    <x v="0"/>
    <x v="0"/>
  </r>
  <r>
    <x v="680"/>
    <x v="147"/>
    <x v="5"/>
    <x v="8"/>
    <n v="2"/>
    <n v="12500"/>
    <n v="25000"/>
    <x v="2"/>
    <x v="3"/>
    <x v="3"/>
  </r>
  <r>
    <x v="681"/>
    <x v="297"/>
    <x v="1"/>
    <x v="7"/>
    <n v="4"/>
    <n v="10000"/>
    <n v="40000"/>
    <x v="0"/>
    <x v="2"/>
    <x v="2"/>
  </r>
  <r>
    <x v="682"/>
    <x v="34"/>
    <x v="9"/>
    <x v="2"/>
    <n v="3"/>
    <n v="12500"/>
    <n v="37500"/>
    <x v="2"/>
    <x v="0"/>
    <x v="0"/>
  </r>
  <r>
    <x v="683"/>
    <x v="98"/>
    <x v="7"/>
    <x v="1"/>
    <n v="5"/>
    <n v="12500"/>
    <n v="62500"/>
    <x v="2"/>
    <x v="3"/>
    <x v="3"/>
  </r>
  <r>
    <x v="684"/>
    <x v="214"/>
    <x v="4"/>
    <x v="4"/>
    <n v="3"/>
    <n v="15000"/>
    <n v="45000"/>
    <x v="1"/>
    <x v="1"/>
    <x v="1"/>
  </r>
  <r>
    <x v="685"/>
    <x v="92"/>
    <x v="9"/>
    <x v="8"/>
    <n v="5"/>
    <n v="12500"/>
    <n v="62500"/>
    <x v="3"/>
    <x v="0"/>
    <x v="0"/>
  </r>
  <r>
    <x v="686"/>
    <x v="0"/>
    <x v="10"/>
    <x v="9"/>
    <n v="1"/>
    <n v="10000"/>
    <n v="10000"/>
    <x v="0"/>
    <x v="3"/>
    <x v="3"/>
  </r>
  <r>
    <x v="687"/>
    <x v="298"/>
    <x v="8"/>
    <x v="2"/>
    <n v="3"/>
    <n v="15000"/>
    <n v="45000"/>
    <x v="3"/>
    <x v="3"/>
    <x v="3"/>
  </r>
  <r>
    <x v="688"/>
    <x v="299"/>
    <x v="1"/>
    <x v="2"/>
    <n v="5"/>
    <n v="20000"/>
    <n v="100000"/>
    <x v="1"/>
    <x v="2"/>
    <x v="2"/>
  </r>
  <r>
    <x v="689"/>
    <x v="3"/>
    <x v="1"/>
    <x v="8"/>
    <n v="3"/>
    <n v="15000"/>
    <n v="45000"/>
    <x v="3"/>
    <x v="4"/>
    <x v="4"/>
  </r>
  <r>
    <x v="690"/>
    <x v="95"/>
    <x v="4"/>
    <x v="6"/>
    <n v="5"/>
    <n v="20000"/>
    <n v="100000"/>
    <x v="3"/>
    <x v="1"/>
    <x v="1"/>
  </r>
  <r>
    <x v="691"/>
    <x v="169"/>
    <x v="0"/>
    <x v="9"/>
    <n v="4"/>
    <n v="15000"/>
    <n v="60000"/>
    <x v="3"/>
    <x v="0"/>
    <x v="0"/>
  </r>
  <r>
    <x v="692"/>
    <x v="149"/>
    <x v="5"/>
    <x v="0"/>
    <n v="4"/>
    <n v="10000"/>
    <n v="40000"/>
    <x v="0"/>
    <x v="0"/>
    <x v="0"/>
  </r>
  <r>
    <x v="693"/>
    <x v="300"/>
    <x v="2"/>
    <x v="2"/>
    <n v="4"/>
    <n v="12500"/>
    <n v="50000"/>
    <x v="1"/>
    <x v="4"/>
    <x v="4"/>
  </r>
  <r>
    <x v="694"/>
    <x v="301"/>
    <x v="9"/>
    <x v="4"/>
    <n v="1"/>
    <n v="20000"/>
    <n v="20000"/>
    <x v="1"/>
    <x v="2"/>
    <x v="2"/>
  </r>
  <r>
    <x v="695"/>
    <x v="280"/>
    <x v="7"/>
    <x v="1"/>
    <n v="3"/>
    <n v="10000"/>
    <n v="30000"/>
    <x v="3"/>
    <x v="2"/>
    <x v="2"/>
  </r>
  <r>
    <x v="696"/>
    <x v="12"/>
    <x v="5"/>
    <x v="1"/>
    <n v="2"/>
    <n v="12500"/>
    <n v="25000"/>
    <x v="1"/>
    <x v="0"/>
    <x v="0"/>
  </r>
  <r>
    <x v="697"/>
    <x v="83"/>
    <x v="3"/>
    <x v="1"/>
    <n v="4"/>
    <n v="15000"/>
    <n v="60000"/>
    <x v="0"/>
    <x v="3"/>
    <x v="3"/>
  </r>
  <r>
    <x v="698"/>
    <x v="59"/>
    <x v="10"/>
    <x v="0"/>
    <n v="4"/>
    <n v="10000"/>
    <n v="40000"/>
    <x v="3"/>
    <x v="3"/>
    <x v="3"/>
  </r>
  <r>
    <x v="699"/>
    <x v="12"/>
    <x v="8"/>
    <x v="3"/>
    <n v="1"/>
    <n v="5000"/>
    <n v="5000"/>
    <x v="1"/>
    <x v="3"/>
    <x v="3"/>
  </r>
  <r>
    <x v="700"/>
    <x v="233"/>
    <x v="2"/>
    <x v="1"/>
    <n v="3"/>
    <n v="10000"/>
    <n v="30000"/>
    <x v="3"/>
    <x v="1"/>
    <x v="1"/>
  </r>
  <r>
    <x v="701"/>
    <x v="302"/>
    <x v="8"/>
    <x v="5"/>
    <n v="1"/>
    <n v="10000"/>
    <n v="10000"/>
    <x v="1"/>
    <x v="4"/>
    <x v="4"/>
  </r>
  <r>
    <x v="702"/>
    <x v="110"/>
    <x v="1"/>
    <x v="2"/>
    <n v="3"/>
    <n v="15000"/>
    <n v="45000"/>
    <x v="1"/>
    <x v="3"/>
    <x v="3"/>
  </r>
  <r>
    <x v="703"/>
    <x v="149"/>
    <x v="3"/>
    <x v="1"/>
    <n v="3"/>
    <n v="5000"/>
    <n v="15000"/>
    <x v="2"/>
    <x v="2"/>
    <x v="2"/>
  </r>
  <r>
    <x v="704"/>
    <x v="119"/>
    <x v="10"/>
    <x v="6"/>
    <n v="3"/>
    <n v="20000"/>
    <n v="60000"/>
    <x v="2"/>
    <x v="3"/>
    <x v="3"/>
  </r>
  <r>
    <x v="705"/>
    <x v="4"/>
    <x v="1"/>
    <x v="7"/>
    <n v="2"/>
    <n v="5000"/>
    <n v="10000"/>
    <x v="1"/>
    <x v="4"/>
    <x v="4"/>
  </r>
  <r>
    <x v="706"/>
    <x v="103"/>
    <x v="10"/>
    <x v="3"/>
    <n v="2"/>
    <n v="20000"/>
    <n v="40000"/>
    <x v="1"/>
    <x v="0"/>
    <x v="0"/>
  </r>
  <r>
    <x v="707"/>
    <x v="272"/>
    <x v="8"/>
    <x v="4"/>
    <n v="4"/>
    <n v="10000"/>
    <n v="40000"/>
    <x v="1"/>
    <x v="0"/>
    <x v="0"/>
  </r>
  <r>
    <x v="708"/>
    <x v="12"/>
    <x v="7"/>
    <x v="3"/>
    <n v="5"/>
    <n v="12500"/>
    <n v="62500"/>
    <x v="2"/>
    <x v="0"/>
    <x v="0"/>
  </r>
  <r>
    <x v="709"/>
    <x v="151"/>
    <x v="6"/>
    <x v="3"/>
    <n v="2"/>
    <n v="5000"/>
    <n v="10000"/>
    <x v="0"/>
    <x v="0"/>
    <x v="0"/>
  </r>
  <r>
    <x v="710"/>
    <x v="175"/>
    <x v="5"/>
    <x v="8"/>
    <n v="2"/>
    <n v="15000"/>
    <n v="30000"/>
    <x v="3"/>
    <x v="0"/>
    <x v="0"/>
  </r>
  <r>
    <x v="711"/>
    <x v="160"/>
    <x v="7"/>
    <x v="2"/>
    <n v="4"/>
    <n v="15000"/>
    <n v="60000"/>
    <x v="3"/>
    <x v="0"/>
    <x v="0"/>
  </r>
  <r>
    <x v="712"/>
    <x v="12"/>
    <x v="9"/>
    <x v="4"/>
    <n v="2"/>
    <n v="15000"/>
    <n v="30000"/>
    <x v="0"/>
    <x v="4"/>
    <x v="4"/>
  </r>
  <r>
    <x v="713"/>
    <x v="230"/>
    <x v="6"/>
    <x v="2"/>
    <n v="2"/>
    <n v="10000"/>
    <n v="20000"/>
    <x v="1"/>
    <x v="3"/>
    <x v="3"/>
  </r>
  <r>
    <x v="714"/>
    <x v="98"/>
    <x v="4"/>
    <x v="5"/>
    <n v="4"/>
    <n v="15000"/>
    <n v="60000"/>
    <x v="1"/>
    <x v="2"/>
    <x v="2"/>
  </r>
  <r>
    <x v="715"/>
    <x v="85"/>
    <x v="3"/>
    <x v="6"/>
    <n v="5"/>
    <n v="10000"/>
    <n v="50000"/>
    <x v="2"/>
    <x v="3"/>
    <x v="3"/>
  </r>
  <r>
    <x v="716"/>
    <x v="303"/>
    <x v="10"/>
    <x v="7"/>
    <n v="3"/>
    <n v="10000"/>
    <n v="30000"/>
    <x v="0"/>
    <x v="4"/>
    <x v="4"/>
  </r>
  <r>
    <x v="717"/>
    <x v="97"/>
    <x v="10"/>
    <x v="7"/>
    <n v="1"/>
    <n v="12500"/>
    <n v="12500"/>
    <x v="3"/>
    <x v="2"/>
    <x v="2"/>
  </r>
  <r>
    <x v="718"/>
    <x v="265"/>
    <x v="5"/>
    <x v="9"/>
    <n v="3"/>
    <n v="15000"/>
    <n v="45000"/>
    <x v="3"/>
    <x v="1"/>
    <x v="1"/>
  </r>
  <r>
    <x v="719"/>
    <x v="213"/>
    <x v="5"/>
    <x v="6"/>
    <n v="2"/>
    <n v="15000"/>
    <n v="30000"/>
    <x v="0"/>
    <x v="2"/>
    <x v="2"/>
  </r>
  <r>
    <x v="720"/>
    <x v="47"/>
    <x v="0"/>
    <x v="4"/>
    <n v="4"/>
    <n v="10000"/>
    <n v="40000"/>
    <x v="3"/>
    <x v="0"/>
    <x v="0"/>
  </r>
  <r>
    <x v="721"/>
    <x v="48"/>
    <x v="1"/>
    <x v="8"/>
    <n v="2"/>
    <n v="10000"/>
    <n v="20000"/>
    <x v="1"/>
    <x v="0"/>
    <x v="0"/>
  </r>
  <r>
    <x v="722"/>
    <x v="112"/>
    <x v="5"/>
    <x v="1"/>
    <n v="1"/>
    <n v="15000"/>
    <n v="15000"/>
    <x v="3"/>
    <x v="3"/>
    <x v="3"/>
  </r>
  <r>
    <x v="723"/>
    <x v="304"/>
    <x v="1"/>
    <x v="9"/>
    <n v="1"/>
    <n v="10000"/>
    <n v="10000"/>
    <x v="1"/>
    <x v="3"/>
    <x v="3"/>
  </r>
  <r>
    <x v="724"/>
    <x v="153"/>
    <x v="8"/>
    <x v="6"/>
    <n v="3"/>
    <n v="10000"/>
    <n v="30000"/>
    <x v="2"/>
    <x v="0"/>
    <x v="0"/>
  </r>
  <r>
    <x v="725"/>
    <x v="187"/>
    <x v="4"/>
    <x v="7"/>
    <n v="4"/>
    <n v="12500"/>
    <n v="50000"/>
    <x v="3"/>
    <x v="0"/>
    <x v="0"/>
  </r>
  <r>
    <x v="726"/>
    <x v="12"/>
    <x v="9"/>
    <x v="2"/>
    <n v="5"/>
    <n v="10000"/>
    <n v="50000"/>
    <x v="3"/>
    <x v="3"/>
    <x v="1"/>
  </r>
  <r>
    <x v="727"/>
    <x v="259"/>
    <x v="2"/>
    <x v="2"/>
    <n v="2"/>
    <n v="15000"/>
    <n v="30000"/>
    <x v="3"/>
    <x v="1"/>
    <x v="1"/>
  </r>
  <r>
    <x v="728"/>
    <x v="305"/>
    <x v="6"/>
    <x v="0"/>
    <n v="3"/>
    <n v="20000"/>
    <n v="60000"/>
    <x v="0"/>
    <x v="0"/>
    <x v="0"/>
  </r>
  <r>
    <x v="729"/>
    <x v="306"/>
    <x v="2"/>
    <x v="9"/>
    <n v="3"/>
    <n v="15000"/>
    <n v="45000"/>
    <x v="0"/>
    <x v="2"/>
    <x v="2"/>
  </r>
  <r>
    <x v="730"/>
    <x v="305"/>
    <x v="8"/>
    <x v="0"/>
    <n v="1"/>
    <n v="20000"/>
    <n v="20000"/>
    <x v="1"/>
    <x v="0"/>
    <x v="0"/>
  </r>
  <r>
    <x v="731"/>
    <x v="146"/>
    <x v="8"/>
    <x v="0"/>
    <n v="3"/>
    <n v="10000"/>
    <n v="30000"/>
    <x v="3"/>
    <x v="3"/>
    <x v="3"/>
  </r>
  <r>
    <x v="732"/>
    <x v="295"/>
    <x v="1"/>
    <x v="5"/>
    <n v="3"/>
    <n v="10000"/>
    <n v="30000"/>
    <x v="3"/>
    <x v="0"/>
    <x v="0"/>
  </r>
  <r>
    <x v="733"/>
    <x v="261"/>
    <x v="10"/>
    <x v="2"/>
    <n v="5"/>
    <n v="15000"/>
    <n v="75000"/>
    <x v="2"/>
    <x v="2"/>
    <x v="2"/>
  </r>
  <r>
    <x v="734"/>
    <x v="231"/>
    <x v="3"/>
    <x v="6"/>
    <n v="3"/>
    <n v="12500"/>
    <n v="37500"/>
    <x v="0"/>
    <x v="1"/>
    <x v="1"/>
  </r>
  <r>
    <x v="735"/>
    <x v="12"/>
    <x v="10"/>
    <x v="9"/>
    <n v="2"/>
    <n v="20000"/>
    <n v="40000"/>
    <x v="3"/>
    <x v="0"/>
    <x v="0"/>
  </r>
  <r>
    <x v="736"/>
    <x v="12"/>
    <x v="7"/>
    <x v="9"/>
    <n v="5"/>
    <n v="10000"/>
    <n v="50000"/>
    <x v="2"/>
    <x v="1"/>
    <x v="1"/>
  </r>
  <r>
    <x v="737"/>
    <x v="278"/>
    <x v="0"/>
    <x v="1"/>
    <n v="3"/>
    <n v="10000"/>
    <n v="30000"/>
    <x v="0"/>
    <x v="3"/>
    <x v="3"/>
  </r>
  <r>
    <x v="738"/>
    <x v="307"/>
    <x v="8"/>
    <x v="7"/>
    <n v="5"/>
    <n v="20000"/>
    <n v="100000"/>
    <x v="3"/>
    <x v="2"/>
    <x v="2"/>
  </r>
  <r>
    <x v="739"/>
    <x v="117"/>
    <x v="4"/>
    <x v="4"/>
    <n v="4"/>
    <n v="5000"/>
    <n v="20000"/>
    <x v="2"/>
    <x v="1"/>
    <x v="1"/>
  </r>
  <r>
    <x v="740"/>
    <x v="155"/>
    <x v="3"/>
    <x v="2"/>
    <n v="3"/>
    <n v="10000"/>
    <n v="30000"/>
    <x v="0"/>
    <x v="0"/>
    <x v="0"/>
  </r>
  <r>
    <x v="741"/>
    <x v="286"/>
    <x v="8"/>
    <x v="5"/>
    <n v="4"/>
    <n v="10000"/>
    <n v="40000"/>
    <x v="1"/>
    <x v="3"/>
    <x v="3"/>
  </r>
  <r>
    <x v="742"/>
    <x v="84"/>
    <x v="4"/>
    <x v="5"/>
    <n v="2"/>
    <n v="10000"/>
    <n v="20000"/>
    <x v="3"/>
    <x v="0"/>
    <x v="0"/>
  </r>
  <r>
    <x v="743"/>
    <x v="308"/>
    <x v="3"/>
    <x v="0"/>
    <n v="4"/>
    <n v="12500"/>
    <n v="50000"/>
    <x v="3"/>
    <x v="4"/>
    <x v="4"/>
  </r>
  <r>
    <x v="744"/>
    <x v="36"/>
    <x v="2"/>
    <x v="4"/>
    <n v="2"/>
    <n v="5000"/>
    <n v="10000"/>
    <x v="3"/>
    <x v="4"/>
    <x v="4"/>
  </r>
  <r>
    <x v="745"/>
    <x v="12"/>
    <x v="4"/>
    <x v="1"/>
    <n v="1"/>
    <n v="15000"/>
    <n v="15000"/>
    <x v="0"/>
    <x v="2"/>
    <x v="2"/>
  </r>
  <r>
    <x v="746"/>
    <x v="309"/>
    <x v="3"/>
    <x v="4"/>
    <n v="3"/>
    <n v="12500"/>
    <n v="37500"/>
    <x v="1"/>
    <x v="0"/>
    <x v="0"/>
  </r>
  <r>
    <x v="747"/>
    <x v="194"/>
    <x v="2"/>
    <x v="2"/>
    <n v="1"/>
    <n v="10000"/>
    <n v="10000"/>
    <x v="0"/>
    <x v="3"/>
    <x v="0"/>
  </r>
  <r>
    <x v="748"/>
    <x v="19"/>
    <x v="5"/>
    <x v="4"/>
    <n v="2"/>
    <n v="20000"/>
    <n v="40000"/>
    <x v="1"/>
    <x v="0"/>
    <x v="0"/>
  </r>
  <r>
    <x v="749"/>
    <x v="12"/>
    <x v="6"/>
    <x v="8"/>
    <n v="4"/>
    <n v="10000"/>
    <n v="40000"/>
    <x v="2"/>
    <x v="1"/>
    <x v="1"/>
  </r>
  <r>
    <x v="750"/>
    <x v="151"/>
    <x v="8"/>
    <x v="9"/>
    <n v="2"/>
    <n v="10000"/>
    <n v="20000"/>
    <x v="0"/>
    <x v="1"/>
    <x v="1"/>
  </r>
  <r>
    <x v="751"/>
    <x v="106"/>
    <x v="0"/>
    <x v="1"/>
    <n v="4"/>
    <n v="20000"/>
    <n v="80000"/>
    <x v="2"/>
    <x v="2"/>
    <x v="2"/>
  </r>
  <r>
    <x v="752"/>
    <x v="24"/>
    <x v="0"/>
    <x v="6"/>
    <n v="5"/>
    <n v="10000"/>
    <n v="50000"/>
    <x v="0"/>
    <x v="2"/>
    <x v="2"/>
  </r>
  <r>
    <x v="753"/>
    <x v="310"/>
    <x v="8"/>
    <x v="0"/>
    <n v="5"/>
    <n v="5000"/>
    <n v="25000"/>
    <x v="3"/>
    <x v="3"/>
    <x v="3"/>
  </r>
  <r>
    <x v="754"/>
    <x v="183"/>
    <x v="2"/>
    <x v="9"/>
    <n v="1"/>
    <n v="5000"/>
    <n v="5000"/>
    <x v="0"/>
    <x v="2"/>
    <x v="2"/>
  </r>
  <r>
    <x v="755"/>
    <x v="18"/>
    <x v="5"/>
    <x v="0"/>
    <n v="5"/>
    <n v="15000"/>
    <n v="75000"/>
    <x v="2"/>
    <x v="1"/>
    <x v="1"/>
  </r>
  <r>
    <x v="756"/>
    <x v="289"/>
    <x v="0"/>
    <x v="4"/>
    <n v="5"/>
    <n v="15000"/>
    <n v="75000"/>
    <x v="3"/>
    <x v="1"/>
    <x v="1"/>
  </r>
  <r>
    <x v="757"/>
    <x v="227"/>
    <x v="3"/>
    <x v="9"/>
    <n v="1"/>
    <n v="10000"/>
    <n v="10000"/>
    <x v="2"/>
    <x v="0"/>
    <x v="0"/>
  </r>
  <r>
    <x v="758"/>
    <x v="12"/>
    <x v="3"/>
    <x v="9"/>
    <n v="3"/>
    <n v="20000"/>
    <n v="60000"/>
    <x v="0"/>
    <x v="4"/>
    <x v="4"/>
  </r>
  <r>
    <x v="759"/>
    <x v="12"/>
    <x v="4"/>
    <x v="0"/>
    <n v="3"/>
    <n v="10000"/>
    <n v="30000"/>
    <x v="0"/>
    <x v="1"/>
    <x v="1"/>
  </r>
  <r>
    <x v="760"/>
    <x v="271"/>
    <x v="3"/>
    <x v="4"/>
    <n v="3"/>
    <n v="10000"/>
    <n v="30000"/>
    <x v="3"/>
    <x v="1"/>
    <x v="1"/>
  </r>
  <r>
    <x v="761"/>
    <x v="2"/>
    <x v="3"/>
    <x v="5"/>
    <n v="3"/>
    <n v="15000"/>
    <n v="45000"/>
    <x v="2"/>
    <x v="0"/>
    <x v="0"/>
  </r>
  <r>
    <x v="762"/>
    <x v="276"/>
    <x v="2"/>
    <x v="2"/>
    <n v="2"/>
    <n v="10000"/>
    <n v="20000"/>
    <x v="0"/>
    <x v="0"/>
    <x v="0"/>
  </r>
  <r>
    <x v="763"/>
    <x v="311"/>
    <x v="10"/>
    <x v="3"/>
    <n v="3"/>
    <n v="10000"/>
    <n v="30000"/>
    <x v="1"/>
    <x v="3"/>
    <x v="2"/>
  </r>
  <r>
    <x v="764"/>
    <x v="28"/>
    <x v="4"/>
    <x v="7"/>
    <n v="3"/>
    <n v="10000"/>
    <n v="30000"/>
    <x v="3"/>
    <x v="4"/>
    <x v="4"/>
  </r>
  <r>
    <x v="765"/>
    <x v="111"/>
    <x v="7"/>
    <x v="2"/>
    <n v="1"/>
    <n v="10000"/>
    <n v="10000"/>
    <x v="2"/>
    <x v="0"/>
    <x v="0"/>
  </r>
  <r>
    <x v="766"/>
    <x v="21"/>
    <x v="8"/>
    <x v="2"/>
    <n v="3"/>
    <n v="12500"/>
    <n v="37500"/>
    <x v="0"/>
    <x v="0"/>
    <x v="0"/>
  </r>
  <r>
    <x v="767"/>
    <x v="312"/>
    <x v="3"/>
    <x v="6"/>
    <n v="1"/>
    <n v="10000"/>
    <n v="10000"/>
    <x v="0"/>
    <x v="2"/>
    <x v="2"/>
  </r>
  <r>
    <x v="768"/>
    <x v="12"/>
    <x v="2"/>
    <x v="6"/>
    <n v="4"/>
    <n v="15000"/>
    <n v="60000"/>
    <x v="3"/>
    <x v="0"/>
    <x v="0"/>
  </r>
  <r>
    <x v="769"/>
    <x v="38"/>
    <x v="4"/>
    <x v="3"/>
    <n v="1"/>
    <n v="10000"/>
    <n v="10000"/>
    <x v="3"/>
    <x v="1"/>
    <x v="1"/>
  </r>
  <r>
    <x v="770"/>
    <x v="125"/>
    <x v="1"/>
    <x v="4"/>
    <n v="2"/>
    <n v="10000"/>
    <n v="20000"/>
    <x v="1"/>
    <x v="4"/>
    <x v="4"/>
  </r>
  <r>
    <x v="771"/>
    <x v="76"/>
    <x v="2"/>
    <x v="8"/>
    <n v="2"/>
    <n v="10000"/>
    <n v="20000"/>
    <x v="0"/>
    <x v="0"/>
    <x v="0"/>
  </r>
  <r>
    <x v="772"/>
    <x v="52"/>
    <x v="1"/>
    <x v="7"/>
    <n v="4"/>
    <n v="20000"/>
    <n v="80000"/>
    <x v="2"/>
    <x v="0"/>
    <x v="0"/>
  </r>
  <r>
    <x v="773"/>
    <x v="313"/>
    <x v="8"/>
    <x v="6"/>
    <n v="3"/>
    <n v="15000"/>
    <n v="45000"/>
    <x v="3"/>
    <x v="3"/>
    <x v="0"/>
  </r>
  <r>
    <x v="774"/>
    <x v="12"/>
    <x v="5"/>
    <x v="2"/>
    <n v="3"/>
    <n v="15000"/>
    <n v="45000"/>
    <x v="3"/>
    <x v="0"/>
    <x v="0"/>
  </r>
  <r>
    <x v="775"/>
    <x v="12"/>
    <x v="6"/>
    <x v="1"/>
    <n v="3"/>
    <n v="15000"/>
    <n v="45000"/>
    <x v="2"/>
    <x v="1"/>
    <x v="1"/>
  </r>
  <r>
    <x v="776"/>
    <x v="28"/>
    <x v="10"/>
    <x v="1"/>
    <n v="3"/>
    <n v="10000"/>
    <n v="30000"/>
    <x v="1"/>
    <x v="3"/>
    <x v="3"/>
  </r>
  <r>
    <x v="777"/>
    <x v="137"/>
    <x v="1"/>
    <x v="2"/>
    <n v="5"/>
    <n v="15000"/>
    <n v="75000"/>
    <x v="2"/>
    <x v="2"/>
    <x v="2"/>
  </r>
  <r>
    <x v="778"/>
    <x v="29"/>
    <x v="2"/>
    <x v="6"/>
    <n v="3"/>
    <n v="20000"/>
    <n v="60000"/>
    <x v="1"/>
    <x v="2"/>
    <x v="2"/>
  </r>
  <r>
    <x v="779"/>
    <x v="192"/>
    <x v="9"/>
    <x v="1"/>
    <n v="3"/>
    <n v="5000"/>
    <n v="15000"/>
    <x v="1"/>
    <x v="0"/>
    <x v="0"/>
  </r>
  <r>
    <x v="780"/>
    <x v="314"/>
    <x v="1"/>
    <x v="2"/>
    <n v="5"/>
    <n v="10000"/>
    <n v="50000"/>
    <x v="2"/>
    <x v="4"/>
    <x v="4"/>
  </r>
  <r>
    <x v="781"/>
    <x v="12"/>
    <x v="4"/>
    <x v="7"/>
    <n v="3"/>
    <n v="10000"/>
    <n v="30000"/>
    <x v="0"/>
    <x v="4"/>
    <x v="4"/>
  </r>
  <r>
    <x v="782"/>
    <x v="12"/>
    <x v="9"/>
    <x v="8"/>
    <n v="3"/>
    <n v="15000"/>
    <n v="45000"/>
    <x v="2"/>
    <x v="0"/>
    <x v="0"/>
  </r>
  <r>
    <x v="783"/>
    <x v="264"/>
    <x v="6"/>
    <x v="3"/>
    <n v="3"/>
    <n v="15000"/>
    <n v="45000"/>
    <x v="2"/>
    <x v="3"/>
    <x v="3"/>
  </r>
  <r>
    <x v="784"/>
    <x v="119"/>
    <x v="1"/>
    <x v="5"/>
    <n v="3"/>
    <n v="15000"/>
    <n v="45000"/>
    <x v="0"/>
    <x v="2"/>
    <x v="2"/>
  </r>
  <r>
    <x v="785"/>
    <x v="254"/>
    <x v="7"/>
    <x v="3"/>
    <n v="3"/>
    <n v="10000"/>
    <n v="30000"/>
    <x v="2"/>
    <x v="0"/>
    <x v="0"/>
  </r>
  <r>
    <x v="786"/>
    <x v="46"/>
    <x v="0"/>
    <x v="1"/>
    <n v="3"/>
    <n v="15000"/>
    <n v="45000"/>
    <x v="2"/>
    <x v="0"/>
    <x v="0"/>
  </r>
  <r>
    <x v="787"/>
    <x v="145"/>
    <x v="3"/>
    <x v="1"/>
    <n v="2"/>
    <n v="12500"/>
    <n v="25000"/>
    <x v="2"/>
    <x v="3"/>
    <x v="0"/>
  </r>
  <r>
    <x v="788"/>
    <x v="82"/>
    <x v="5"/>
    <x v="0"/>
    <n v="2"/>
    <n v="10000"/>
    <n v="20000"/>
    <x v="3"/>
    <x v="0"/>
    <x v="0"/>
  </r>
  <r>
    <x v="789"/>
    <x v="111"/>
    <x v="6"/>
    <x v="7"/>
    <n v="1"/>
    <n v="5000"/>
    <n v="5000"/>
    <x v="2"/>
    <x v="3"/>
    <x v="3"/>
  </r>
  <r>
    <x v="790"/>
    <x v="8"/>
    <x v="3"/>
    <x v="1"/>
    <n v="3"/>
    <n v="10000"/>
    <n v="30000"/>
    <x v="0"/>
    <x v="2"/>
    <x v="2"/>
  </r>
  <r>
    <x v="791"/>
    <x v="232"/>
    <x v="8"/>
    <x v="9"/>
    <n v="3"/>
    <n v="5000"/>
    <n v="15000"/>
    <x v="2"/>
    <x v="3"/>
    <x v="3"/>
  </r>
  <r>
    <x v="792"/>
    <x v="77"/>
    <x v="3"/>
    <x v="6"/>
    <n v="5"/>
    <n v="10000"/>
    <n v="50000"/>
    <x v="3"/>
    <x v="0"/>
    <x v="0"/>
  </r>
  <r>
    <x v="793"/>
    <x v="100"/>
    <x v="0"/>
    <x v="6"/>
    <n v="3"/>
    <n v="12500"/>
    <n v="37500"/>
    <x v="1"/>
    <x v="3"/>
    <x v="3"/>
  </r>
  <r>
    <x v="794"/>
    <x v="315"/>
    <x v="2"/>
    <x v="0"/>
    <n v="1"/>
    <n v="15000"/>
    <n v="15000"/>
    <x v="2"/>
    <x v="0"/>
    <x v="0"/>
  </r>
  <r>
    <x v="795"/>
    <x v="250"/>
    <x v="3"/>
    <x v="2"/>
    <n v="5"/>
    <n v="12500"/>
    <n v="62500"/>
    <x v="2"/>
    <x v="0"/>
    <x v="0"/>
  </r>
  <r>
    <x v="796"/>
    <x v="316"/>
    <x v="10"/>
    <x v="3"/>
    <n v="4"/>
    <n v="5000"/>
    <n v="20000"/>
    <x v="3"/>
    <x v="1"/>
    <x v="1"/>
  </r>
  <r>
    <x v="797"/>
    <x v="134"/>
    <x v="4"/>
    <x v="7"/>
    <n v="3"/>
    <n v="15000"/>
    <n v="45000"/>
    <x v="0"/>
    <x v="3"/>
    <x v="3"/>
  </r>
  <r>
    <x v="798"/>
    <x v="121"/>
    <x v="4"/>
    <x v="1"/>
    <n v="5"/>
    <n v="20000"/>
    <n v="100000"/>
    <x v="0"/>
    <x v="0"/>
    <x v="0"/>
  </r>
  <r>
    <x v="799"/>
    <x v="155"/>
    <x v="2"/>
    <x v="5"/>
    <n v="3"/>
    <n v="5000"/>
    <n v="15000"/>
    <x v="1"/>
    <x v="1"/>
    <x v="1"/>
  </r>
  <r>
    <x v="800"/>
    <x v="243"/>
    <x v="7"/>
    <x v="0"/>
    <n v="1"/>
    <n v="15000"/>
    <n v="15000"/>
    <x v="0"/>
    <x v="0"/>
    <x v="0"/>
  </r>
  <r>
    <x v="801"/>
    <x v="257"/>
    <x v="0"/>
    <x v="2"/>
    <n v="3"/>
    <n v="10000"/>
    <n v="30000"/>
    <x v="2"/>
    <x v="3"/>
    <x v="3"/>
  </r>
  <r>
    <x v="802"/>
    <x v="12"/>
    <x v="6"/>
    <x v="5"/>
    <n v="3"/>
    <n v="20000"/>
    <n v="60000"/>
    <x v="2"/>
    <x v="1"/>
    <x v="1"/>
  </r>
  <r>
    <x v="803"/>
    <x v="295"/>
    <x v="9"/>
    <x v="1"/>
    <n v="3"/>
    <n v="10000"/>
    <n v="30000"/>
    <x v="1"/>
    <x v="0"/>
    <x v="0"/>
  </r>
  <r>
    <x v="804"/>
    <x v="34"/>
    <x v="0"/>
    <x v="2"/>
    <n v="3"/>
    <n v="10000"/>
    <n v="30000"/>
    <x v="3"/>
    <x v="2"/>
    <x v="2"/>
  </r>
  <r>
    <x v="805"/>
    <x v="303"/>
    <x v="6"/>
    <x v="8"/>
    <n v="3"/>
    <n v="5000"/>
    <n v="15000"/>
    <x v="2"/>
    <x v="3"/>
    <x v="0"/>
  </r>
  <r>
    <x v="806"/>
    <x v="249"/>
    <x v="0"/>
    <x v="5"/>
    <n v="5"/>
    <n v="10000"/>
    <n v="50000"/>
    <x v="3"/>
    <x v="4"/>
    <x v="4"/>
  </r>
  <r>
    <x v="807"/>
    <x v="12"/>
    <x v="4"/>
    <x v="7"/>
    <n v="5"/>
    <n v="12500"/>
    <n v="62500"/>
    <x v="3"/>
    <x v="1"/>
    <x v="1"/>
  </r>
  <r>
    <x v="808"/>
    <x v="64"/>
    <x v="6"/>
    <x v="3"/>
    <n v="3"/>
    <n v="10000"/>
    <n v="30000"/>
    <x v="0"/>
    <x v="1"/>
    <x v="1"/>
  </r>
  <r>
    <x v="809"/>
    <x v="69"/>
    <x v="3"/>
    <x v="6"/>
    <n v="3"/>
    <n v="15000"/>
    <n v="45000"/>
    <x v="3"/>
    <x v="3"/>
    <x v="3"/>
  </r>
  <r>
    <x v="810"/>
    <x v="163"/>
    <x v="6"/>
    <x v="2"/>
    <n v="1"/>
    <n v="12500"/>
    <n v="12500"/>
    <x v="0"/>
    <x v="4"/>
    <x v="4"/>
  </r>
  <r>
    <x v="811"/>
    <x v="317"/>
    <x v="2"/>
    <x v="9"/>
    <n v="2"/>
    <n v="5000"/>
    <n v="10000"/>
    <x v="2"/>
    <x v="4"/>
    <x v="4"/>
  </r>
  <r>
    <x v="812"/>
    <x v="189"/>
    <x v="5"/>
    <x v="1"/>
    <n v="1"/>
    <n v="15000"/>
    <n v="15000"/>
    <x v="1"/>
    <x v="4"/>
    <x v="4"/>
  </r>
  <r>
    <x v="813"/>
    <x v="113"/>
    <x v="7"/>
    <x v="6"/>
    <n v="3"/>
    <n v="5000"/>
    <n v="15000"/>
    <x v="3"/>
    <x v="1"/>
    <x v="1"/>
  </r>
  <r>
    <x v="814"/>
    <x v="243"/>
    <x v="0"/>
    <x v="4"/>
    <n v="1"/>
    <n v="10000"/>
    <n v="10000"/>
    <x v="2"/>
    <x v="2"/>
    <x v="2"/>
  </r>
  <r>
    <x v="815"/>
    <x v="318"/>
    <x v="2"/>
    <x v="2"/>
    <n v="4"/>
    <n v="10000"/>
    <n v="40000"/>
    <x v="3"/>
    <x v="3"/>
    <x v="3"/>
  </r>
  <r>
    <x v="816"/>
    <x v="319"/>
    <x v="7"/>
    <x v="6"/>
    <n v="1"/>
    <n v="15000"/>
    <n v="15000"/>
    <x v="3"/>
    <x v="0"/>
    <x v="0"/>
  </r>
  <r>
    <x v="817"/>
    <x v="12"/>
    <x v="8"/>
    <x v="6"/>
    <n v="5"/>
    <n v="5000"/>
    <n v="25000"/>
    <x v="3"/>
    <x v="3"/>
    <x v="3"/>
  </r>
  <r>
    <x v="818"/>
    <x v="38"/>
    <x v="0"/>
    <x v="5"/>
    <n v="3"/>
    <n v="15000"/>
    <n v="45000"/>
    <x v="0"/>
    <x v="3"/>
    <x v="3"/>
  </r>
  <r>
    <x v="819"/>
    <x v="267"/>
    <x v="9"/>
    <x v="3"/>
    <n v="3"/>
    <n v="15000"/>
    <n v="45000"/>
    <x v="1"/>
    <x v="3"/>
    <x v="3"/>
  </r>
  <r>
    <x v="820"/>
    <x v="27"/>
    <x v="10"/>
    <x v="4"/>
    <n v="3"/>
    <n v="12500"/>
    <n v="37500"/>
    <x v="3"/>
    <x v="4"/>
    <x v="4"/>
  </r>
  <r>
    <x v="821"/>
    <x v="12"/>
    <x v="8"/>
    <x v="6"/>
    <n v="1"/>
    <n v="10000"/>
    <n v="10000"/>
    <x v="0"/>
    <x v="2"/>
    <x v="2"/>
  </r>
  <r>
    <x v="822"/>
    <x v="48"/>
    <x v="1"/>
    <x v="1"/>
    <n v="3"/>
    <n v="20000"/>
    <n v="60000"/>
    <x v="1"/>
    <x v="3"/>
    <x v="3"/>
  </r>
  <r>
    <x v="823"/>
    <x v="235"/>
    <x v="8"/>
    <x v="6"/>
    <n v="2"/>
    <n v="10000"/>
    <n v="20000"/>
    <x v="1"/>
    <x v="4"/>
    <x v="4"/>
  </r>
  <r>
    <x v="824"/>
    <x v="106"/>
    <x v="9"/>
    <x v="2"/>
    <n v="4"/>
    <n v="20000"/>
    <n v="80000"/>
    <x v="2"/>
    <x v="1"/>
    <x v="1"/>
  </r>
  <r>
    <x v="825"/>
    <x v="175"/>
    <x v="5"/>
    <x v="4"/>
    <n v="5"/>
    <n v="10000"/>
    <n v="50000"/>
    <x v="3"/>
    <x v="2"/>
    <x v="2"/>
  </r>
  <r>
    <x v="826"/>
    <x v="137"/>
    <x v="9"/>
    <x v="0"/>
    <n v="1"/>
    <n v="5000"/>
    <n v="5000"/>
    <x v="1"/>
    <x v="1"/>
    <x v="1"/>
  </r>
  <r>
    <x v="827"/>
    <x v="76"/>
    <x v="1"/>
    <x v="8"/>
    <n v="1"/>
    <n v="10000"/>
    <n v="10000"/>
    <x v="3"/>
    <x v="0"/>
    <x v="0"/>
  </r>
  <r>
    <x v="828"/>
    <x v="320"/>
    <x v="8"/>
    <x v="2"/>
    <n v="4"/>
    <n v="12500"/>
    <n v="50000"/>
    <x v="3"/>
    <x v="3"/>
    <x v="3"/>
  </r>
  <r>
    <x v="829"/>
    <x v="266"/>
    <x v="0"/>
    <x v="3"/>
    <n v="1"/>
    <n v="20000"/>
    <n v="20000"/>
    <x v="1"/>
    <x v="3"/>
    <x v="3"/>
  </r>
  <r>
    <x v="830"/>
    <x v="198"/>
    <x v="10"/>
    <x v="8"/>
    <n v="4"/>
    <n v="10000"/>
    <n v="40000"/>
    <x v="3"/>
    <x v="0"/>
    <x v="0"/>
  </r>
  <r>
    <x v="831"/>
    <x v="112"/>
    <x v="0"/>
    <x v="5"/>
    <n v="3"/>
    <n v="10000"/>
    <n v="30000"/>
    <x v="2"/>
    <x v="1"/>
    <x v="1"/>
  </r>
  <r>
    <x v="832"/>
    <x v="247"/>
    <x v="2"/>
    <x v="9"/>
    <n v="5"/>
    <n v="10000"/>
    <n v="50000"/>
    <x v="0"/>
    <x v="3"/>
    <x v="3"/>
  </r>
  <r>
    <x v="833"/>
    <x v="185"/>
    <x v="3"/>
    <x v="8"/>
    <n v="4"/>
    <n v="5000"/>
    <n v="20000"/>
    <x v="0"/>
    <x v="2"/>
    <x v="2"/>
  </r>
  <r>
    <x v="834"/>
    <x v="316"/>
    <x v="5"/>
    <x v="3"/>
    <n v="3"/>
    <n v="12500"/>
    <n v="37500"/>
    <x v="2"/>
    <x v="3"/>
    <x v="3"/>
  </r>
  <r>
    <x v="835"/>
    <x v="299"/>
    <x v="5"/>
    <x v="2"/>
    <n v="5"/>
    <n v="5000"/>
    <n v="25000"/>
    <x v="0"/>
    <x v="4"/>
    <x v="4"/>
  </r>
  <r>
    <x v="836"/>
    <x v="247"/>
    <x v="7"/>
    <x v="0"/>
    <n v="4"/>
    <n v="12500"/>
    <n v="50000"/>
    <x v="3"/>
    <x v="3"/>
    <x v="3"/>
  </r>
  <r>
    <x v="837"/>
    <x v="48"/>
    <x v="3"/>
    <x v="1"/>
    <n v="2"/>
    <n v="15000"/>
    <n v="30000"/>
    <x v="0"/>
    <x v="1"/>
    <x v="1"/>
  </r>
  <r>
    <x v="838"/>
    <x v="263"/>
    <x v="1"/>
    <x v="7"/>
    <n v="2"/>
    <n v="15000"/>
    <n v="30000"/>
    <x v="2"/>
    <x v="3"/>
    <x v="3"/>
  </r>
  <r>
    <x v="839"/>
    <x v="19"/>
    <x v="2"/>
    <x v="0"/>
    <n v="2"/>
    <n v="5000"/>
    <n v="10000"/>
    <x v="0"/>
    <x v="0"/>
    <x v="0"/>
  </r>
  <r>
    <x v="840"/>
    <x v="318"/>
    <x v="6"/>
    <x v="4"/>
    <n v="3"/>
    <n v="15000"/>
    <n v="45000"/>
    <x v="3"/>
    <x v="2"/>
    <x v="2"/>
  </r>
  <r>
    <x v="841"/>
    <x v="73"/>
    <x v="1"/>
    <x v="5"/>
    <n v="1"/>
    <n v="15000"/>
    <n v="15000"/>
    <x v="2"/>
    <x v="0"/>
    <x v="0"/>
  </r>
  <r>
    <x v="842"/>
    <x v="108"/>
    <x v="10"/>
    <x v="8"/>
    <n v="1"/>
    <n v="15000"/>
    <n v="15000"/>
    <x v="3"/>
    <x v="0"/>
    <x v="0"/>
  </r>
  <r>
    <x v="843"/>
    <x v="193"/>
    <x v="4"/>
    <x v="9"/>
    <n v="5"/>
    <n v="20000"/>
    <n v="100000"/>
    <x v="2"/>
    <x v="2"/>
    <x v="2"/>
  </r>
  <r>
    <x v="844"/>
    <x v="235"/>
    <x v="8"/>
    <x v="6"/>
    <n v="3"/>
    <n v="10000"/>
    <n v="30000"/>
    <x v="1"/>
    <x v="3"/>
    <x v="3"/>
  </r>
  <r>
    <x v="845"/>
    <x v="298"/>
    <x v="1"/>
    <x v="4"/>
    <n v="1"/>
    <n v="20000"/>
    <n v="20000"/>
    <x v="0"/>
    <x v="1"/>
    <x v="1"/>
  </r>
  <r>
    <x v="846"/>
    <x v="86"/>
    <x v="8"/>
    <x v="8"/>
    <n v="3"/>
    <n v="20000"/>
    <n v="60000"/>
    <x v="3"/>
    <x v="4"/>
    <x v="4"/>
  </r>
  <r>
    <x v="847"/>
    <x v="111"/>
    <x v="10"/>
    <x v="2"/>
    <n v="2"/>
    <n v="15000"/>
    <n v="30000"/>
    <x v="3"/>
    <x v="0"/>
    <x v="0"/>
  </r>
  <r>
    <x v="848"/>
    <x v="214"/>
    <x v="2"/>
    <x v="7"/>
    <n v="5"/>
    <n v="15000"/>
    <n v="75000"/>
    <x v="2"/>
    <x v="3"/>
    <x v="3"/>
  </r>
  <r>
    <x v="849"/>
    <x v="321"/>
    <x v="4"/>
    <x v="5"/>
    <n v="1"/>
    <n v="15000"/>
    <n v="15000"/>
    <x v="3"/>
    <x v="1"/>
    <x v="1"/>
  </r>
  <r>
    <x v="850"/>
    <x v="109"/>
    <x v="4"/>
    <x v="6"/>
    <n v="5"/>
    <n v="5000"/>
    <n v="25000"/>
    <x v="0"/>
    <x v="3"/>
    <x v="3"/>
  </r>
  <r>
    <x v="851"/>
    <x v="277"/>
    <x v="5"/>
    <x v="3"/>
    <n v="3"/>
    <n v="12500"/>
    <n v="37500"/>
    <x v="1"/>
    <x v="3"/>
    <x v="3"/>
  </r>
  <r>
    <x v="852"/>
    <x v="107"/>
    <x v="7"/>
    <x v="5"/>
    <n v="3"/>
    <n v="10000"/>
    <n v="30000"/>
    <x v="0"/>
    <x v="1"/>
    <x v="1"/>
  </r>
  <r>
    <x v="853"/>
    <x v="240"/>
    <x v="7"/>
    <x v="2"/>
    <n v="3"/>
    <n v="5000"/>
    <n v="15000"/>
    <x v="0"/>
    <x v="1"/>
    <x v="1"/>
  </r>
  <r>
    <x v="854"/>
    <x v="279"/>
    <x v="2"/>
    <x v="9"/>
    <n v="3"/>
    <n v="5000"/>
    <n v="15000"/>
    <x v="0"/>
    <x v="0"/>
    <x v="0"/>
  </r>
  <r>
    <x v="855"/>
    <x v="8"/>
    <x v="6"/>
    <x v="3"/>
    <n v="4"/>
    <n v="5000"/>
    <n v="20000"/>
    <x v="0"/>
    <x v="1"/>
    <x v="1"/>
  </r>
  <r>
    <x v="856"/>
    <x v="322"/>
    <x v="10"/>
    <x v="0"/>
    <n v="2"/>
    <n v="10000"/>
    <n v="20000"/>
    <x v="3"/>
    <x v="2"/>
    <x v="2"/>
  </r>
  <r>
    <x v="857"/>
    <x v="49"/>
    <x v="2"/>
    <x v="2"/>
    <n v="3"/>
    <n v="5000"/>
    <n v="15000"/>
    <x v="3"/>
    <x v="3"/>
    <x v="3"/>
  </r>
  <r>
    <x v="858"/>
    <x v="78"/>
    <x v="9"/>
    <x v="6"/>
    <n v="3"/>
    <n v="5000"/>
    <n v="15000"/>
    <x v="1"/>
    <x v="4"/>
    <x v="4"/>
  </r>
  <r>
    <x v="859"/>
    <x v="12"/>
    <x v="5"/>
    <x v="2"/>
    <n v="1"/>
    <n v="10000"/>
    <n v="10000"/>
    <x v="3"/>
    <x v="0"/>
    <x v="0"/>
  </r>
  <r>
    <x v="860"/>
    <x v="21"/>
    <x v="4"/>
    <x v="7"/>
    <n v="3"/>
    <n v="10000"/>
    <n v="30000"/>
    <x v="0"/>
    <x v="3"/>
    <x v="3"/>
  </r>
  <r>
    <x v="861"/>
    <x v="141"/>
    <x v="7"/>
    <x v="5"/>
    <n v="4"/>
    <n v="20000"/>
    <n v="80000"/>
    <x v="0"/>
    <x v="4"/>
    <x v="4"/>
  </r>
  <r>
    <x v="862"/>
    <x v="57"/>
    <x v="1"/>
    <x v="0"/>
    <n v="2"/>
    <n v="15000"/>
    <n v="30000"/>
    <x v="3"/>
    <x v="4"/>
    <x v="4"/>
  </r>
  <r>
    <x v="863"/>
    <x v="212"/>
    <x v="2"/>
    <x v="2"/>
    <n v="4"/>
    <n v="15000"/>
    <n v="60000"/>
    <x v="0"/>
    <x v="3"/>
    <x v="4"/>
  </r>
  <r>
    <x v="864"/>
    <x v="177"/>
    <x v="10"/>
    <x v="2"/>
    <n v="2"/>
    <n v="20000"/>
    <n v="40000"/>
    <x v="1"/>
    <x v="3"/>
    <x v="3"/>
  </r>
  <r>
    <x v="865"/>
    <x v="150"/>
    <x v="7"/>
    <x v="0"/>
    <n v="3"/>
    <n v="12500"/>
    <n v="37500"/>
    <x v="2"/>
    <x v="2"/>
    <x v="2"/>
  </r>
  <r>
    <x v="866"/>
    <x v="212"/>
    <x v="5"/>
    <x v="6"/>
    <n v="3"/>
    <n v="10000"/>
    <n v="30000"/>
    <x v="3"/>
    <x v="3"/>
    <x v="3"/>
  </r>
  <r>
    <x v="867"/>
    <x v="159"/>
    <x v="9"/>
    <x v="1"/>
    <n v="3"/>
    <n v="20000"/>
    <n v="60000"/>
    <x v="0"/>
    <x v="1"/>
    <x v="1"/>
  </r>
  <r>
    <x v="868"/>
    <x v="12"/>
    <x v="8"/>
    <x v="4"/>
    <n v="4"/>
    <n v="15000"/>
    <n v="60000"/>
    <x v="2"/>
    <x v="4"/>
    <x v="4"/>
  </r>
  <r>
    <x v="869"/>
    <x v="253"/>
    <x v="8"/>
    <x v="6"/>
    <n v="5"/>
    <n v="5000"/>
    <n v="25000"/>
    <x v="3"/>
    <x v="1"/>
    <x v="1"/>
  </r>
  <r>
    <x v="870"/>
    <x v="226"/>
    <x v="7"/>
    <x v="4"/>
    <n v="3"/>
    <n v="15000"/>
    <n v="45000"/>
    <x v="0"/>
    <x v="3"/>
    <x v="4"/>
  </r>
  <r>
    <x v="871"/>
    <x v="84"/>
    <x v="8"/>
    <x v="0"/>
    <n v="1"/>
    <n v="20000"/>
    <n v="20000"/>
    <x v="1"/>
    <x v="2"/>
    <x v="2"/>
  </r>
  <r>
    <x v="872"/>
    <x v="76"/>
    <x v="1"/>
    <x v="4"/>
    <n v="2"/>
    <n v="5000"/>
    <n v="10000"/>
    <x v="2"/>
    <x v="0"/>
    <x v="0"/>
  </r>
  <r>
    <x v="873"/>
    <x v="323"/>
    <x v="10"/>
    <x v="5"/>
    <n v="4"/>
    <n v="20000"/>
    <n v="80000"/>
    <x v="2"/>
    <x v="4"/>
    <x v="4"/>
  </r>
  <r>
    <x v="874"/>
    <x v="191"/>
    <x v="5"/>
    <x v="3"/>
    <n v="3"/>
    <n v="10000"/>
    <n v="30000"/>
    <x v="0"/>
    <x v="4"/>
    <x v="4"/>
  </r>
  <r>
    <x v="875"/>
    <x v="324"/>
    <x v="3"/>
    <x v="0"/>
    <n v="2"/>
    <n v="15000"/>
    <n v="30000"/>
    <x v="2"/>
    <x v="1"/>
    <x v="1"/>
  </r>
  <r>
    <x v="876"/>
    <x v="325"/>
    <x v="10"/>
    <x v="4"/>
    <n v="1"/>
    <n v="12500"/>
    <n v="12500"/>
    <x v="1"/>
    <x v="0"/>
    <x v="0"/>
  </r>
  <r>
    <x v="877"/>
    <x v="12"/>
    <x v="3"/>
    <x v="9"/>
    <n v="1"/>
    <n v="12500"/>
    <n v="12500"/>
    <x v="0"/>
    <x v="2"/>
    <x v="2"/>
  </r>
  <r>
    <x v="878"/>
    <x v="326"/>
    <x v="10"/>
    <x v="9"/>
    <n v="3"/>
    <n v="5000"/>
    <n v="15000"/>
    <x v="1"/>
    <x v="4"/>
    <x v="4"/>
  </r>
  <r>
    <x v="879"/>
    <x v="229"/>
    <x v="1"/>
    <x v="2"/>
    <n v="5"/>
    <n v="10000"/>
    <n v="50000"/>
    <x v="3"/>
    <x v="0"/>
    <x v="0"/>
  </r>
  <r>
    <x v="880"/>
    <x v="2"/>
    <x v="4"/>
    <x v="2"/>
    <n v="5"/>
    <n v="10000"/>
    <n v="50000"/>
    <x v="1"/>
    <x v="3"/>
    <x v="3"/>
  </r>
  <r>
    <x v="881"/>
    <x v="327"/>
    <x v="9"/>
    <x v="4"/>
    <n v="4"/>
    <n v="20000"/>
    <n v="80000"/>
    <x v="1"/>
    <x v="4"/>
    <x v="4"/>
  </r>
  <r>
    <x v="882"/>
    <x v="107"/>
    <x v="3"/>
    <x v="2"/>
    <n v="3"/>
    <n v="15000"/>
    <n v="45000"/>
    <x v="3"/>
    <x v="0"/>
    <x v="0"/>
  </r>
  <r>
    <x v="883"/>
    <x v="305"/>
    <x v="3"/>
    <x v="4"/>
    <n v="2"/>
    <n v="20000"/>
    <n v="40000"/>
    <x v="2"/>
    <x v="4"/>
    <x v="4"/>
  </r>
  <r>
    <x v="884"/>
    <x v="28"/>
    <x v="5"/>
    <x v="2"/>
    <n v="4"/>
    <n v="12500"/>
    <n v="50000"/>
    <x v="0"/>
    <x v="3"/>
    <x v="3"/>
  </r>
  <r>
    <x v="885"/>
    <x v="16"/>
    <x v="7"/>
    <x v="8"/>
    <n v="4"/>
    <n v="5000"/>
    <n v="20000"/>
    <x v="0"/>
    <x v="2"/>
    <x v="2"/>
  </r>
  <r>
    <x v="886"/>
    <x v="318"/>
    <x v="8"/>
    <x v="4"/>
    <n v="4"/>
    <n v="15000"/>
    <n v="60000"/>
    <x v="0"/>
    <x v="0"/>
    <x v="0"/>
  </r>
  <r>
    <x v="887"/>
    <x v="159"/>
    <x v="7"/>
    <x v="9"/>
    <n v="4"/>
    <n v="5000"/>
    <n v="20000"/>
    <x v="3"/>
    <x v="2"/>
    <x v="2"/>
  </r>
  <r>
    <x v="888"/>
    <x v="162"/>
    <x v="10"/>
    <x v="1"/>
    <n v="3"/>
    <n v="15000"/>
    <n v="45000"/>
    <x v="2"/>
    <x v="3"/>
    <x v="1"/>
  </r>
  <r>
    <x v="889"/>
    <x v="233"/>
    <x v="1"/>
    <x v="0"/>
    <n v="4"/>
    <n v="10000"/>
    <n v="40000"/>
    <x v="2"/>
    <x v="0"/>
    <x v="0"/>
  </r>
  <r>
    <x v="890"/>
    <x v="129"/>
    <x v="7"/>
    <x v="7"/>
    <n v="5"/>
    <n v="15000"/>
    <n v="75000"/>
    <x v="1"/>
    <x v="3"/>
    <x v="3"/>
  </r>
  <r>
    <x v="891"/>
    <x v="293"/>
    <x v="5"/>
    <x v="2"/>
    <n v="4"/>
    <n v="10000"/>
    <n v="40000"/>
    <x v="0"/>
    <x v="0"/>
    <x v="0"/>
  </r>
  <r>
    <x v="892"/>
    <x v="290"/>
    <x v="4"/>
    <x v="3"/>
    <n v="1"/>
    <n v="15000"/>
    <n v="15000"/>
    <x v="1"/>
    <x v="0"/>
    <x v="0"/>
  </r>
  <r>
    <x v="893"/>
    <x v="296"/>
    <x v="1"/>
    <x v="6"/>
    <n v="2"/>
    <n v="10000"/>
    <n v="20000"/>
    <x v="3"/>
    <x v="0"/>
    <x v="0"/>
  </r>
  <r>
    <x v="894"/>
    <x v="31"/>
    <x v="10"/>
    <x v="0"/>
    <n v="4"/>
    <n v="20000"/>
    <n v="80000"/>
    <x v="3"/>
    <x v="3"/>
    <x v="3"/>
  </r>
  <r>
    <x v="895"/>
    <x v="12"/>
    <x v="9"/>
    <x v="4"/>
    <n v="3"/>
    <n v="5000"/>
    <n v="15000"/>
    <x v="2"/>
    <x v="4"/>
    <x v="4"/>
  </r>
  <r>
    <x v="896"/>
    <x v="66"/>
    <x v="10"/>
    <x v="3"/>
    <n v="5"/>
    <n v="15000"/>
    <n v="75000"/>
    <x v="2"/>
    <x v="2"/>
    <x v="2"/>
  </r>
  <r>
    <x v="897"/>
    <x v="221"/>
    <x v="8"/>
    <x v="7"/>
    <n v="1"/>
    <n v="15000"/>
    <n v="15000"/>
    <x v="2"/>
    <x v="0"/>
    <x v="0"/>
  </r>
  <r>
    <x v="898"/>
    <x v="59"/>
    <x v="2"/>
    <x v="7"/>
    <n v="2"/>
    <n v="20000"/>
    <n v="40000"/>
    <x v="1"/>
    <x v="4"/>
    <x v="4"/>
  </r>
  <r>
    <x v="899"/>
    <x v="170"/>
    <x v="6"/>
    <x v="9"/>
    <n v="3"/>
    <n v="5000"/>
    <n v="15000"/>
    <x v="1"/>
    <x v="2"/>
    <x v="2"/>
  </r>
  <r>
    <x v="900"/>
    <x v="269"/>
    <x v="6"/>
    <x v="7"/>
    <n v="1"/>
    <n v="5000"/>
    <n v="5000"/>
    <x v="3"/>
    <x v="3"/>
    <x v="3"/>
  </r>
  <r>
    <x v="901"/>
    <x v="12"/>
    <x v="1"/>
    <x v="1"/>
    <n v="1"/>
    <n v="20000"/>
    <n v="20000"/>
    <x v="2"/>
    <x v="4"/>
    <x v="4"/>
  </r>
  <r>
    <x v="902"/>
    <x v="240"/>
    <x v="2"/>
    <x v="4"/>
    <n v="5"/>
    <n v="5000"/>
    <n v="25000"/>
    <x v="0"/>
    <x v="3"/>
    <x v="3"/>
  </r>
  <r>
    <x v="903"/>
    <x v="243"/>
    <x v="3"/>
    <x v="9"/>
    <n v="2"/>
    <n v="15000"/>
    <n v="30000"/>
    <x v="3"/>
    <x v="3"/>
    <x v="3"/>
  </r>
  <r>
    <x v="904"/>
    <x v="264"/>
    <x v="5"/>
    <x v="3"/>
    <n v="4"/>
    <n v="10000"/>
    <n v="40000"/>
    <x v="2"/>
    <x v="1"/>
    <x v="1"/>
  </r>
  <r>
    <x v="905"/>
    <x v="196"/>
    <x v="2"/>
    <x v="7"/>
    <n v="3"/>
    <n v="20000"/>
    <n v="60000"/>
    <x v="3"/>
    <x v="4"/>
    <x v="4"/>
  </r>
  <r>
    <x v="906"/>
    <x v="12"/>
    <x v="7"/>
    <x v="0"/>
    <n v="3"/>
    <n v="10000"/>
    <n v="30000"/>
    <x v="1"/>
    <x v="0"/>
    <x v="0"/>
  </r>
  <r>
    <x v="907"/>
    <x v="202"/>
    <x v="10"/>
    <x v="8"/>
    <n v="4"/>
    <n v="15000"/>
    <n v="60000"/>
    <x v="1"/>
    <x v="4"/>
    <x v="4"/>
  </r>
  <r>
    <x v="908"/>
    <x v="44"/>
    <x v="6"/>
    <x v="5"/>
    <n v="5"/>
    <n v="5000"/>
    <n v="25000"/>
    <x v="2"/>
    <x v="3"/>
    <x v="3"/>
  </r>
  <r>
    <x v="909"/>
    <x v="221"/>
    <x v="9"/>
    <x v="8"/>
    <n v="2"/>
    <n v="12500"/>
    <n v="25000"/>
    <x v="2"/>
    <x v="1"/>
    <x v="1"/>
  </r>
  <r>
    <x v="910"/>
    <x v="328"/>
    <x v="10"/>
    <x v="5"/>
    <n v="3"/>
    <n v="10000"/>
    <n v="30000"/>
    <x v="3"/>
    <x v="2"/>
    <x v="2"/>
  </r>
  <r>
    <x v="911"/>
    <x v="20"/>
    <x v="1"/>
    <x v="1"/>
    <n v="1"/>
    <n v="15000"/>
    <n v="15000"/>
    <x v="2"/>
    <x v="3"/>
    <x v="3"/>
  </r>
  <r>
    <x v="912"/>
    <x v="313"/>
    <x v="5"/>
    <x v="9"/>
    <n v="3"/>
    <n v="12500"/>
    <n v="37500"/>
    <x v="1"/>
    <x v="3"/>
    <x v="3"/>
  </r>
  <r>
    <x v="913"/>
    <x v="329"/>
    <x v="1"/>
    <x v="7"/>
    <n v="4"/>
    <n v="5000"/>
    <n v="20000"/>
    <x v="3"/>
    <x v="1"/>
    <x v="1"/>
  </r>
  <r>
    <x v="914"/>
    <x v="129"/>
    <x v="0"/>
    <x v="2"/>
    <n v="2"/>
    <n v="15000"/>
    <n v="30000"/>
    <x v="2"/>
    <x v="2"/>
    <x v="2"/>
  </r>
  <r>
    <x v="915"/>
    <x v="297"/>
    <x v="8"/>
    <x v="7"/>
    <n v="2"/>
    <n v="10000"/>
    <n v="20000"/>
    <x v="3"/>
    <x v="1"/>
    <x v="1"/>
  </r>
  <r>
    <x v="916"/>
    <x v="238"/>
    <x v="1"/>
    <x v="7"/>
    <n v="3"/>
    <n v="12500"/>
    <n v="37500"/>
    <x v="1"/>
    <x v="1"/>
    <x v="1"/>
  </r>
  <r>
    <x v="917"/>
    <x v="259"/>
    <x v="3"/>
    <x v="8"/>
    <n v="3"/>
    <n v="12500"/>
    <n v="37500"/>
    <x v="3"/>
    <x v="3"/>
    <x v="3"/>
  </r>
  <r>
    <x v="918"/>
    <x v="291"/>
    <x v="8"/>
    <x v="6"/>
    <n v="4"/>
    <n v="15000"/>
    <n v="60000"/>
    <x v="1"/>
    <x v="0"/>
    <x v="0"/>
  </r>
  <r>
    <x v="919"/>
    <x v="12"/>
    <x v="9"/>
    <x v="4"/>
    <n v="3"/>
    <n v="12500"/>
    <n v="37500"/>
    <x v="2"/>
    <x v="0"/>
    <x v="0"/>
  </r>
  <r>
    <x v="920"/>
    <x v="330"/>
    <x v="2"/>
    <x v="3"/>
    <n v="5"/>
    <n v="15000"/>
    <n v="75000"/>
    <x v="3"/>
    <x v="1"/>
    <x v="1"/>
  </r>
  <r>
    <x v="921"/>
    <x v="329"/>
    <x v="8"/>
    <x v="6"/>
    <n v="3"/>
    <n v="10000"/>
    <n v="30000"/>
    <x v="2"/>
    <x v="0"/>
    <x v="0"/>
  </r>
  <r>
    <x v="922"/>
    <x v="331"/>
    <x v="8"/>
    <x v="3"/>
    <n v="4"/>
    <n v="10000"/>
    <n v="40000"/>
    <x v="2"/>
    <x v="3"/>
    <x v="3"/>
  </r>
  <r>
    <x v="923"/>
    <x v="332"/>
    <x v="3"/>
    <x v="3"/>
    <n v="5"/>
    <n v="12500"/>
    <n v="62500"/>
    <x v="0"/>
    <x v="2"/>
    <x v="2"/>
  </r>
  <r>
    <x v="924"/>
    <x v="219"/>
    <x v="0"/>
    <x v="5"/>
    <n v="4"/>
    <n v="15000"/>
    <n v="60000"/>
    <x v="3"/>
    <x v="0"/>
    <x v="0"/>
  </r>
  <r>
    <x v="925"/>
    <x v="96"/>
    <x v="0"/>
    <x v="0"/>
    <n v="2"/>
    <n v="12500"/>
    <n v="25000"/>
    <x v="3"/>
    <x v="3"/>
    <x v="3"/>
  </r>
  <r>
    <x v="926"/>
    <x v="5"/>
    <x v="2"/>
    <x v="1"/>
    <n v="4"/>
    <n v="10000"/>
    <n v="40000"/>
    <x v="0"/>
    <x v="4"/>
    <x v="4"/>
  </r>
  <r>
    <x v="927"/>
    <x v="195"/>
    <x v="9"/>
    <x v="0"/>
    <n v="3"/>
    <n v="15000"/>
    <n v="45000"/>
    <x v="3"/>
    <x v="2"/>
    <x v="2"/>
  </r>
  <r>
    <x v="928"/>
    <x v="333"/>
    <x v="9"/>
    <x v="0"/>
    <n v="2"/>
    <n v="5000"/>
    <n v="10000"/>
    <x v="2"/>
    <x v="2"/>
    <x v="2"/>
  </r>
  <r>
    <x v="929"/>
    <x v="64"/>
    <x v="8"/>
    <x v="9"/>
    <n v="4"/>
    <n v="15000"/>
    <n v="60000"/>
    <x v="3"/>
    <x v="4"/>
    <x v="4"/>
  </r>
  <r>
    <x v="930"/>
    <x v="334"/>
    <x v="8"/>
    <x v="5"/>
    <n v="5"/>
    <n v="15000"/>
    <n v="75000"/>
    <x v="2"/>
    <x v="3"/>
    <x v="3"/>
  </r>
  <r>
    <x v="931"/>
    <x v="148"/>
    <x v="0"/>
    <x v="9"/>
    <n v="5"/>
    <n v="12500"/>
    <n v="62500"/>
    <x v="0"/>
    <x v="4"/>
    <x v="4"/>
  </r>
  <r>
    <x v="932"/>
    <x v="272"/>
    <x v="4"/>
    <x v="4"/>
    <n v="5"/>
    <n v="12500"/>
    <n v="62500"/>
    <x v="1"/>
    <x v="2"/>
    <x v="2"/>
  </r>
  <r>
    <x v="933"/>
    <x v="292"/>
    <x v="9"/>
    <x v="2"/>
    <n v="3"/>
    <n v="5000"/>
    <n v="15000"/>
    <x v="1"/>
    <x v="2"/>
    <x v="2"/>
  </r>
  <r>
    <x v="934"/>
    <x v="5"/>
    <x v="0"/>
    <x v="0"/>
    <n v="3"/>
    <n v="12500"/>
    <n v="37500"/>
    <x v="1"/>
    <x v="4"/>
    <x v="4"/>
  </r>
  <r>
    <x v="935"/>
    <x v="12"/>
    <x v="6"/>
    <x v="6"/>
    <n v="1"/>
    <n v="20000"/>
    <n v="20000"/>
    <x v="2"/>
    <x v="3"/>
    <x v="0"/>
  </r>
  <r>
    <x v="936"/>
    <x v="31"/>
    <x v="7"/>
    <x v="8"/>
    <n v="4"/>
    <n v="12500"/>
    <n v="50000"/>
    <x v="0"/>
    <x v="4"/>
    <x v="4"/>
  </r>
  <r>
    <x v="937"/>
    <x v="277"/>
    <x v="2"/>
    <x v="4"/>
    <n v="3"/>
    <n v="10000"/>
    <n v="30000"/>
    <x v="1"/>
    <x v="2"/>
    <x v="2"/>
  </r>
  <r>
    <x v="938"/>
    <x v="245"/>
    <x v="6"/>
    <x v="5"/>
    <n v="3"/>
    <n v="15000"/>
    <n v="45000"/>
    <x v="2"/>
    <x v="2"/>
    <x v="2"/>
  </r>
  <r>
    <x v="939"/>
    <x v="268"/>
    <x v="7"/>
    <x v="2"/>
    <n v="3"/>
    <n v="20000"/>
    <n v="60000"/>
    <x v="2"/>
    <x v="1"/>
    <x v="1"/>
  </r>
  <r>
    <x v="940"/>
    <x v="332"/>
    <x v="0"/>
    <x v="2"/>
    <n v="3"/>
    <n v="10000"/>
    <n v="30000"/>
    <x v="3"/>
    <x v="3"/>
    <x v="3"/>
  </r>
  <r>
    <x v="941"/>
    <x v="39"/>
    <x v="5"/>
    <x v="2"/>
    <n v="5"/>
    <n v="20000"/>
    <n v="100000"/>
    <x v="0"/>
    <x v="3"/>
    <x v="3"/>
  </r>
  <r>
    <x v="942"/>
    <x v="236"/>
    <x v="9"/>
    <x v="9"/>
    <n v="3"/>
    <n v="15000"/>
    <n v="45000"/>
    <x v="3"/>
    <x v="2"/>
    <x v="2"/>
  </r>
  <r>
    <x v="943"/>
    <x v="195"/>
    <x v="1"/>
    <x v="9"/>
    <n v="4"/>
    <n v="20000"/>
    <n v="80000"/>
    <x v="0"/>
    <x v="1"/>
    <x v="1"/>
  </r>
  <r>
    <x v="944"/>
    <x v="35"/>
    <x v="8"/>
    <x v="7"/>
    <n v="3"/>
    <n v="5000"/>
    <n v="15000"/>
    <x v="1"/>
    <x v="4"/>
    <x v="4"/>
  </r>
  <r>
    <x v="945"/>
    <x v="335"/>
    <x v="0"/>
    <x v="1"/>
    <n v="5"/>
    <n v="20000"/>
    <n v="100000"/>
    <x v="0"/>
    <x v="4"/>
    <x v="4"/>
  </r>
  <r>
    <x v="946"/>
    <x v="165"/>
    <x v="4"/>
    <x v="7"/>
    <n v="5"/>
    <n v="5000"/>
    <n v="25000"/>
    <x v="3"/>
    <x v="2"/>
    <x v="2"/>
  </r>
  <r>
    <x v="947"/>
    <x v="12"/>
    <x v="2"/>
    <x v="0"/>
    <n v="4"/>
    <n v="10000"/>
    <n v="40000"/>
    <x v="0"/>
    <x v="4"/>
    <x v="4"/>
  </r>
  <r>
    <x v="948"/>
    <x v="54"/>
    <x v="10"/>
    <x v="8"/>
    <n v="2"/>
    <n v="5000"/>
    <n v="10000"/>
    <x v="3"/>
    <x v="0"/>
    <x v="0"/>
  </r>
  <r>
    <x v="949"/>
    <x v="242"/>
    <x v="5"/>
    <x v="3"/>
    <n v="1"/>
    <n v="15000"/>
    <n v="15000"/>
    <x v="3"/>
    <x v="2"/>
    <x v="2"/>
  </r>
  <r>
    <x v="950"/>
    <x v="336"/>
    <x v="9"/>
    <x v="4"/>
    <n v="5"/>
    <n v="10000"/>
    <n v="50000"/>
    <x v="1"/>
    <x v="2"/>
    <x v="2"/>
  </r>
  <r>
    <x v="951"/>
    <x v="12"/>
    <x v="2"/>
    <x v="5"/>
    <n v="2"/>
    <n v="20000"/>
    <n v="40000"/>
    <x v="3"/>
    <x v="1"/>
    <x v="1"/>
  </r>
  <r>
    <x v="952"/>
    <x v="317"/>
    <x v="9"/>
    <x v="3"/>
    <n v="4"/>
    <n v="15000"/>
    <n v="60000"/>
    <x v="1"/>
    <x v="0"/>
    <x v="0"/>
  </r>
  <r>
    <x v="953"/>
    <x v="12"/>
    <x v="7"/>
    <x v="2"/>
    <n v="5"/>
    <n v="20000"/>
    <n v="100000"/>
    <x v="0"/>
    <x v="4"/>
    <x v="4"/>
  </r>
  <r>
    <x v="954"/>
    <x v="196"/>
    <x v="0"/>
    <x v="5"/>
    <n v="3"/>
    <n v="5000"/>
    <n v="15000"/>
    <x v="0"/>
    <x v="3"/>
    <x v="3"/>
  </r>
  <r>
    <x v="955"/>
    <x v="271"/>
    <x v="6"/>
    <x v="2"/>
    <n v="2"/>
    <n v="10000"/>
    <n v="20000"/>
    <x v="3"/>
    <x v="0"/>
    <x v="0"/>
  </r>
  <r>
    <x v="956"/>
    <x v="123"/>
    <x v="3"/>
    <x v="9"/>
    <n v="5"/>
    <n v="15000"/>
    <n v="75000"/>
    <x v="2"/>
    <x v="1"/>
    <x v="1"/>
  </r>
  <r>
    <x v="957"/>
    <x v="188"/>
    <x v="8"/>
    <x v="4"/>
    <n v="5"/>
    <n v="15000"/>
    <n v="75000"/>
    <x v="3"/>
    <x v="0"/>
    <x v="0"/>
  </r>
  <r>
    <x v="958"/>
    <x v="79"/>
    <x v="2"/>
    <x v="7"/>
    <n v="3"/>
    <n v="20000"/>
    <n v="60000"/>
    <x v="0"/>
    <x v="2"/>
    <x v="2"/>
  </r>
  <r>
    <x v="959"/>
    <x v="190"/>
    <x v="9"/>
    <x v="5"/>
    <n v="5"/>
    <n v="10000"/>
    <n v="50000"/>
    <x v="2"/>
    <x v="1"/>
    <x v="1"/>
  </r>
  <r>
    <x v="960"/>
    <x v="232"/>
    <x v="6"/>
    <x v="3"/>
    <n v="3"/>
    <n v="10000"/>
    <n v="30000"/>
    <x v="1"/>
    <x v="0"/>
    <x v="0"/>
  </r>
  <r>
    <x v="961"/>
    <x v="41"/>
    <x v="1"/>
    <x v="8"/>
    <n v="3"/>
    <n v="20000"/>
    <n v="60000"/>
    <x v="0"/>
    <x v="3"/>
    <x v="3"/>
  </r>
  <r>
    <x v="962"/>
    <x v="177"/>
    <x v="3"/>
    <x v="6"/>
    <n v="1"/>
    <n v="5000"/>
    <n v="5000"/>
    <x v="3"/>
    <x v="2"/>
    <x v="2"/>
  </r>
  <r>
    <x v="963"/>
    <x v="8"/>
    <x v="2"/>
    <x v="2"/>
    <n v="3"/>
    <n v="15000"/>
    <n v="45000"/>
    <x v="2"/>
    <x v="1"/>
    <x v="1"/>
  </r>
  <r>
    <x v="964"/>
    <x v="169"/>
    <x v="3"/>
    <x v="1"/>
    <n v="4"/>
    <n v="15000"/>
    <n v="60000"/>
    <x v="3"/>
    <x v="4"/>
    <x v="4"/>
  </r>
  <r>
    <x v="965"/>
    <x v="248"/>
    <x v="8"/>
    <x v="6"/>
    <n v="3"/>
    <n v="20000"/>
    <n v="60000"/>
    <x v="0"/>
    <x v="3"/>
    <x v="2"/>
  </r>
  <r>
    <x v="966"/>
    <x v="337"/>
    <x v="6"/>
    <x v="8"/>
    <n v="3"/>
    <n v="15000"/>
    <n v="45000"/>
    <x v="2"/>
    <x v="3"/>
    <x v="4"/>
  </r>
  <r>
    <x v="967"/>
    <x v="145"/>
    <x v="10"/>
    <x v="9"/>
    <n v="3"/>
    <n v="10000"/>
    <n v="30000"/>
    <x v="1"/>
    <x v="2"/>
    <x v="2"/>
  </r>
  <r>
    <x v="968"/>
    <x v="196"/>
    <x v="0"/>
    <x v="7"/>
    <n v="3"/>
    <n v="5000"/>
    <n v="15000"/>
    <x v="0"/>
    <x v="0"/>
    <x v="0"/>
  </r>
  <r>
    <x v="969"/>
    <x v="194"/>
    <x v="3"/>
    <x v="0"/>
    <n v="5"/>
    <n v="15000"/>
    <n v="75000"/>
    <x v="1"/>
    <x v="4"/>
    <x v="4"/>
  </r>
  <r>
    <x v="970"/>
    <x v="105"/>
    <x v="2"/>
    <x v="4"/>
    <n v="1"/>
    <n v="10000"/>
    <n v="10000"/>
    <x v="3"/>
    <x v="3"/>
    <x v="3"/>
  </r>
  <r>
    <x v="971"/>
    <x v="145"/>
    <x v="3"/>
    <x v="9"/>
    <n v="5"/>
    <n v="10000"/>
    <n v="50000"/>
    <x v="3"/>
    <x v="3"/>
    <x v="0"/>
  </r>
  <r>
    <x v="972"/>
    <x v="9"/>
    <x v="7"/>
    <x v="2"/>
    <n v="5"/>
    <n v="12500"/>
    <n v="62500"/>
    <x v="1"/>
    <x v="1"/>
    <x v="1"/>
  </r>
  <r>
    <x v="973"/>
    <x v="234"/>
    <x v="7"/>
    <x v="7"/>
    <n v="2"/>
    <n v="12500"/>
    <n v="25000"/>
    <x v="0"/>
    <x v="4"/>
    <x v="4"/>
  </r>
  <r>
    <x v="974"/>
    <x v="181"/>
    <x v="5"/>
    <x v="1"/>
    <n v="3"/>
    <n v="5000"/>
    <n v="15000"/>
    <x v="2"/>
    <x v="0"/>
    <x v="0"/>
  </r>
  <r>
    <x v="975"/>
    <x v="175"/>
    <x v="7"/>
    <x v="9"/>
    <n v="3"/>
    <n v="10000"/>
    <n v="30000"/>
    <x v="2"/>
    <x v="3"/>
    <x v="3"/>
  </r>
  <r>
    <x v="976"/>
    <x v="338"/>
    <x v="6"/>
    <x v="1"/>
    <n v="1"/>
    <n v="12500"/>
    <n v="12500"/>
    <x v="3"/>
    <x v="0"/>
    <x v="0"/>
  </r>
  <r>
    <x v="977"/>
    <x v="148"/>
    <x v="6"/>
    <x v="3"/>
    <n v="3"/>
    <n v="10000"/>
    <n v="30000"/>
    <x v="2"/>
    <x v="3"/>
    <x v="3"/>
  </r>
  <r>
    <x v="978"/>
    <x v="159"/>
    <x v="10"/>
    <x v="1"/>
    <n v="4"/>
    <n v="10000"/>
    <n v="40000"/>
    <x v="2"/>
    <x v="3"/>
    <x v="4"/>
  </r>
  <r>
    <x v="979"/>
    <x v="12"/>
    <x v="0"/>
    <x v="1"/>
    <n v="4"/>
    <n v="20000"/>
    <n v="80000"/>
    <x v="2"/>
    <x v="3"/>
    <x v="3"/>
  </r>
  <r>
    <x v="980"/>
    <x v="339"/>
    <x v="7"/>
    <x v="2"/>
    <n v="5"/>
    <n v="15000"/>
    <n v="75000"/>
    <x v="3"/>
    <x v="2"/>
    <x v="2"/>
  </r>
  <r>
    <x v="981"/>
    <x v="156"/>
    <x v="9"/>
    <x v="7"/>
    <n v="2"/>
    <n v="12500"/>
    <n v="25000"/>
    <x v="1"/>
    <x v="2"/>
    <x v="2"/>
  </r>
  <r>
    <x v="982"/>
    <x v="156"/>
    <x v="3"/>
    <x v="8"/>
    <n v="3"/>
    <n v="15000"/>
    <n v="45000"/>
    <x v="0"/>
    <x v="0"/>
    <x v="0"/>
  </r>
  <r>
    <x v="983"/>
    <x v="321"/>
    <x v="1"/>
    <x v="2"/>
    <n v="4"/>
    <n v="10000"/>
    <n v="40000"/>
    <x v="1"/>
    <x v="0"/>
    <x v="0"/>
  </r>
  <r>
    <x v="984"/>
    <x v="52"/>
    <x v="7"/>
    <x v="3"/>
    <n v="2"/>
    <n v="10000"/>
    <n v="20000"/>
    <x v="2"/>
    <x v="3"/>
    <x v="3"/>
  </r>
  <r>
    <x v="985"/>
    <x v="160"/>
    <x v="0"/>
    <x v="5"/>
    <n v="4"/>
    <n v="10000"/>
    <n v="40000"/>
    <x v="1"/>
    <x v="2"/>
    <x v="2"/>
  </r>
  <r>
    <x v="102"/>
    <x v="16"/>
    <x v="8"/>
    <x v="2"/>
    <n v="2"/>
    <n v="12500"/>
    <n v="25000"/>
    <x v="2"/>
    <x v="1"/>
    <x v="1"/>
  </r>
  <r>
    <x v="859"/>
    <x v="12"/>
    <x v="5"/>
    <x v="0"/>
    <n v="1"/>
    <n v="10000"/>
    <n v="10000"/>
    <x v="3"/>
    <x v="0"/>
    <x v="0"/>
  </r>
  <r>
    <x v="305"/>
    <x v="0"/>
    <x v="3"/>
    <x v="9"/>
    <n v="5"/>
    <n v="15000"/>
    <n v="75000"/>
    <x v="1"/>
    <x v="3"/>
    <x v="3"/>
  </r>
  <r>
    <x v="340"/>
    <x v="215"/>
    <x v="9"/>
    <x v="2"/>
    <n v="1"/>
    <n v="15000"/>
    <n v="15000"/>
    <x v="2"/>
    <x v="2"/>
    <x v="2"/>
  </r>
  <r>
    <x v="794"/>
    <x v="315"/>
    <x v="2"/>
    <x v="2"/>
    <n v="1"/>
    <n v="15000"/>
    <n v="15000"/>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CCDDAA-7F29-4EFA-9AF7-F6CC9544EC92}"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G3:G4" firstHeaderRow="1" firstDataRow="1" firstDataCol="0"/>
  <pivotFields count="14">
    <pivotField showAll="0"/>
    <pivotField numFmtId="14" showAll="0">
      <items count="15">
        <item x="0"/>
        <item x="1"/>
        <item x="2"/>
        <item x="3"/>
        <item x="4"/>
        <item x="5"/>
        <item x="6"/>
        <item x="7"/>
        <item x="8"/>
        <item x="9"/>
        <item x="10"/>
        <item x="11"/>
        <item x="12"/>
        <item x="13"/>
        <item t="default"/>
      </items>
    </pivotField>
    <pivotField showAll="0"/>
    <pivotField showAll="0">
      <items count="11">
        <item x="5"/>
        <item x="2"/>
        <item x="8"/>
        <item x="1"/>
        <item x="4"/>
        <item x="0"/>
        <item x="3"/>
        <item x="9"/>
        <item x="7"/>
        <item x="6"/>
        <item t="default"/>
      </items>
    </pivotField>
    <pivotField dataField="1" showAll="0"/>
    <pivotField showAll="0"/>
    <pivotField showAll="0"/>
    <pivotField showAll="0">
      <items count="5">
        <item x="1"/>
        <item x="2"/>
        <item x="0"/>
        <item x="3"/>
        <item t="default"/>
      </items>
    </pivotField>
    <pivotField showAll="0">
      <items count="6">
        <item x="0"/>
        <item x="3"/>
        <item x="2"/>
        <item x="4"/>
        <item x="1"/>
        <item t="default"/>
      </items>
    </pivotField>
    <pivotField showAll="0">
      <items count="6">
        <item x="0"/>
        <item x="3"/>
        <item x="2"/>
        <item x="4"/>
        <item x="1"/>
        <item t="default"/>
      </items>
    </pivotField>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 showAll="0">
      <items count="8">
        <item x="3"/>
        <item x="4"/>
        <item x="5"/>
        <item x="6"/>
        <item x="2"/>
        <item x="0"/>
        <item x="1"/>
        <item t="default"/>
      </items>
    </pivotField>
  </pivotFields>
  <rowItems count="1">
    <i/>
  </rowItems>
  <colItems count="1">
    <i/>
  </colItems>
  <dataFields count="1">
    <dataField name="AVG QTY" fld="4" subtotal="average" baseField="0" baseItem="311087056"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DD19CB-3808-4ED3-9471-3EC99AFB1747}" name="PivotTable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27:F34" firstHeaderRow="1" firstDataRow="2" firstDataCol="1"/>
  <pivotFields count="14">
    <pivotField showAll="0"/>
    <pivotField numFmtId="14" showAll="0">
      <items count="15">
        <item x="0"/>
        <item x="1"/>
        <item x="2"/>
        <item x="3"/>
        <item x="4"/>
        <item x="5"/>
        <item x="6"/>
        <item x="7"/>
        <item x="8"/>
        <item x="9"/>
        <item x="10"/>
        <item x="11"/>
        <item x="12"/>
        <item x="13"/>
        <item t="default"/>
      </items>
    </pivotField>
    <pivotField showAll="0"/>
    <pivotField showAll="0">
      <items count="11">
        <item x="5"/>
        <item x="2"/>
        <item x="8"/>
        <item x="1"/>
        <item x="4"/>
        <item x="0"/>
        <item x="3"/>
        <item x="9"/>
        <item x="7"/>
        <item x="6"/>
        <item t="default"/>
      </items>
    </pivotField>
    <pivotField numFmtId="1" showAll="0"/>
    <pivotField numFmtId="1" showAll="0"/>
    <pivotField dataField="1" numFmtId="1" showAll="0"/>
    <pivotField axis="axisCol" showAll="0">
      <items count="5">
        <item x="1"/>
        <item x="2"/>
        <item x="0"/>
        <item x="3"/>
        <item t="default"/>
      </items>
    </pivotField>
    <pivotField axis="axisRow" showAll="0">
      <items count="6">
        <item x="0"/>
        <item x="3"/>
        <item x="2"/>
        <item x="4"/>
        <item x="1"/>
        <item t="default"/>
      </items>
    </pivotField>
    <pivotField showAll="0">
      <items count="6">
        <item x="0"/>
        <item x="3"/>
        <item x="2"/>
        <item x="4"/>
        <item x="1"/>
        <item t="default"/>
      </items>
    </pivotField>
    <pivotField dragToRow="0" dragToCol="0" dragToPage="0" showAll="0" defaultSubtotal="0"/>
    <pivotField showAll="0" defaultSubtotal="0"/>
    <pivotField showAll="0" defaultSubtotal="0"/>
    <pivotField showAll="0">
      <items count="8">
        <item x="3"/>
        <item x="4"/>
        <item x="5"/>
        <item x="6"/>
        <item x="2"/>
        <item x="0"/>
        <item x="1"/>
        <item t="default"/>
      </items>
    </pivotField>
  </pivotFields>
  <rowFields count="1">
    <field x="8"/>
  </rowFields>
  <rowItems count="6">
    <i>
      <x/>
    </i>
    <i>
      <x v="1"/>
    </i>
    <i>
      <x v="2"/>
    </i>
    <i>
      <x v="3"/>
    </i>
    <i>
      <x v="4"/>
    </i>
    <i t="grand">
      <x/>
    </i>
  </rowItems>
  <colFields count="1">
    <field x="7"/>
  </colFields>
  <colItems count="5">
    <i>
      <x/>
    </i>
    <i>
      <x v="1"/>
    </i>
    <i>
      <x v="2"/>
    </i>
    <i>
      <x v="3"/>
    </i>
    <i t="grand">
      <x/>
    </i>
  </colItems>
  <dataFields count="1">
    <dataField name="Sum of Total" fld="6" baseField="0" baseItem="0"/>
  </dataFields>
  <chartFormats count="5">
    <chartFormat chart="3" format="8" series="1">
      <pivotArea type="data" outline="0" fieldPosition="0">
        <references count="2">
          <reference field="4294967294" count="1" selected="0">
            <x v="0"/>
          </reference>
          <reference field="7" count="1" selected="0">
            <x v="0"/>
          </reference>
        </references>
      </pivotArea>
    </chartFormat>
    <chartFormat chart="3" format="9" series="1">
      <pivotArea type="data" outline="0" fieldPosition="0">
        <references count="2">
          <reference field="4294967294" count="1" selected="0">
            <x v="0"/>
          </reference>
          <reference field="7" count="1" selected="0">
            <x v="1"/>
          </reference>
        </references>
      </pivotArea>
    </chartFormat>
    <chartFormat chart="3" format="10" series="1">
      <pivotArea type="data" outline="0" fieldPosition="0">
        <references count="2">
          <reference field="4294967294" count="1" selected="0">
            <x v="0"/>
          </reference>
          <reference field="7" count="1" selected="0">
            <x v="2"/>
          </reference>
        </references>
      </pivotArea>
    </chartFormat>
    <chartFormat chart="3" format="11" series="1">
      <pivotArea type="data" outline="0" fieldPosition="0">
        <references count="2">
          <reference field="4294967294" count="1" selected="0">
            <x v="0"/>
          </reference>
          <reference field="7" count="1" selected="0">
            <x v="3"/>
          </reference>
        </references>
      </pivotArea>
    </chartFormat>
    <chartFormat chart="3"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AF72D2-1C9B-4531-BEC4-477AF91DC5FC}"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8:B21" firstHeaderRow="1" firstDataRow="1" firstDataCol="1"/>
  <pivotFields count="14">
    <pivotField showAll="0"/>
    <pivotField axis="axisRow" numFmtId="14" showAll="0">
      <items count="15">
        <item x="0"/>
        <item x="1"/>
        <item x="2"/>
        <item x="3"/>
        <item x="4"/>
        <item x="5"/>
        <item x="6"/>
        <item x="7"/>
        <item x="8"/>
        <item x="9"/>
        <item x="10"/>
        <item x="11"/>
        <item x="12"/>
        <item x="13"/>
        <item t="default"/>
      </items>
    </pivotField>
    <pivotField showAll="0"/>
    <pivotField showAll="0">
      <items count="11">
        <item x="5"/>
        <item x="2"/>
        <item x="8"/>
        <item x="1"/>
        <item x="4"/>
        <item x="0"/>
        <item x="3"/>
        <item x="9"/>
        <item x="7"/>
        <item x="6"/>
        <item t="default"/>
      </items>
    </pivotField>
    <pivotField showAll="0"/>
    <pivotField showAll="0"/>
    <pivotField dataField="1" showAll="0"/>
    <pivotField showAll="0">
      <items count="5">
        <item x="1"/>
        <item x="2"/>
        <item x="0"/>
        <item x="3"/>
        <item t="default"/>
      </items>
    </pivotField>
    <pivotField showAll="0">
      <items count="6">
        <item x="0"/>
        <item x="3"/>
        <item x="2"/>
        <item x="4"/>
        <item x="1"/>
        <item t="default"/>
      </items>
    </pivotField>
    <pivotField showAll="0">
      <items count="6">
        <item x="0"/>
        <item x="3"/>
        <item x="2"/>
        <item x="4"/>
        <item x="1"/>
        <item t="default"/>
      </items>
    </pivotField>
    <pivotField dragToRow="0" dragToCol="0" dragToPage="0" showAll="0" defaultSubtotal="0"/>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8">
        <item x="3"/>
        <item x="4"/>
        <item x="5"/>
        <item x="6"/>
        <item x="2"/>
        <item x="0"/>
        <item x="1"/>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Total"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62A966-CF61-41CF-8314-D086A7AFE5B5}"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C3:C4" firstHeaderRow="1" firstDataRow="1" firstDataCol="0"/>
  <pivotFields count="14">
    <pivotField dataField="1" showAll="0"/>
    <pivotField numFmtId="14" showAll="0">
      <items count="15">
        <item x="0"/>
        <item x="1"/>
        <item x="2"/>
        <item x="3"/>
        <item x="4"/>
        <item x="5"/>
        <item x="6"/>
        <item x="7"/>
        <item x="8"/>
        <item x="9"/>
        <item x="10"/>
        <item x="11"/>
        <item x="12"/>
        <item x="13"/>
        <item t="default"/>
      </items>
    </pivotField>
    <pivotField showAll="0"/>
    <pivotField showAll="0">
      <items count="11">
        <item x="5"/>
        <item x="2"/>
        <item x="8"/>
        <item x="1"/>
        <item x="4"/>
        <item x="0"/>
        <item x="3"/>
        <item x="9"/>
        <item x="7"/>
        <item x="6"/>
        <item t="default"/>
      </items>
    </pivotField>
    <pivotField showAll="0"/>
    <pivotField showAll="0"/>
    <pivotField showAll="0"/>
    <pivotField showAll="0">
      <items count="5">
        <item x="1"/>
        <item x="2"/>
        <item x="0"/>
        <item x="3"/>
        <item t="default"/>
      </items>
    </pivotField>
    <pivotField showAll="0">
      <items count="6">
        <item x="0"/>
        <item x="3"/>
        <item x="2"/>
        <item x="4"/>
        <item x="1"/>
        <item t="default"/>
      </items>
    </pivotField>
    <pivotField showAll="0">
      <items count="6">
        <item x="0"/>
        <item x="3"/>
        <item x="2"/>
        <item x="4"/>
        <item x="1"/>
        <item t="default"/>
      </items>
    </pivotField>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 showAll="0">
      <items count="8">
        <item x="3"/>
        <item x="4"/>
        <item x="5"/>
        <item x="6"/>
        <item x="2"/>
        <item x="0"/>
        <item x="1"/>
        <item t="default"/>
      </items>
    </pivotField>
  </pivotFields>
  <rowItems count="1">
    <i/>
  </rowItems>
  <colItems count="1">
    <i/>
  </colItems>
  <dataFields count="1">
    <dataField name="TOTAL TRANSAKSI"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19A654-1265-47D0-B562-B0249C4A463F}"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
  <location ref="D8:E16"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showAll="0"/>
    <pivotField showAll="0" sortType="ascending">
      <items count="11">
        <item x="5"/>
        <item x="2"/>
        <item x="8"/>
        <item x="1"/>
        <item x="4"/>
        <item x="0"/>
        <item x="3"/>
        <item x="9"/>
        <item x="7"/>
        <item x="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
        <item x="1"/>
        <item x="2"/>
        <item x="0"/>
        <item x="3"/>
        <item t="default"/>
      </items>
    </pivotField>
    <pivotField showAll="0">
      <items count="6">
        <item x="0"/>
        <item x="3"/>
        <item x="2"/>
        <item x="4"/>
        <item x="1"/>
        <item t="default"/>
      </items>
    </pivotField>
    <pivotField showAll="0">
      <items count="6">
        <item x="0"/>
        <item x="3"/>
        <item x="2"/>
        <item x="4"/>
        <item x="1"/>
        <item t="default"/>
      </items>
    </pivotField>
    <pivotField dragToRow="0" dragToCol="0" dragToPage="0" showAll="0" defaultSubtotal="0"/>
    <pivotField showAll="0" defaultSubtotal="0"/>
    <pivotField showAll="0" defaultSubtotal="0"/>
    <pivotField axis="axisRow" showAll="0" sortType="descending">
      <items count="8">
        <item n="Other" sd="0" x="2"/>
        <item sd="0" x="0"/>
        <item sd="0" x="1"/>
        <item x="3"/>
        <item x="4"/>
        <item x="5"/>
        <item x="6"/>
        <item t="default" sd="0"/>
      </items>
      <autoSortScope>
        <pivotArea dataOnly="0" outline="0" fieldPosition="0">
          <references count="1">
            <reference field="4294967294" count="1" selected="0">
              <x v="0"/>
            </reference>
          </references>
        </pivotArea>
      </autoSortScope>
    </pivotField>
  </pivotFields>
  <rowFields count="1">
    <field x="13"/>
  </rowFields>
  <rowItems count="8">
    <i>
      <x/>
    </i>
    <i>
      <x v="2"/>
    </i>
    <i>
      <x v="1"/>
    </i>
    <i>
      <x v="3"/>
    </i>
    <i>
      <x v="6"/>
    </i>
    <i>
      <x v="5"/>
    </i>
    <i>
      <x v="4"/>
    </i>
    <i t="grand">
      <x/>
    </i>
  </rowItems>
  <colItems count="1">
    <i/>
  </colItems>
  <dataFields count="1">
    <dataField name="Sum of Total" fld="6" baseField="0" baseItem="0"/>
  </dataFields>
  <chartFormats count="4">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3" count="1" selected="0">
            <x v="2"/>
          </reference>
        </references>
      </pivotArea>
    </chartFormat>
    <chartFormat chart="9" format="4">
      <pivotArea type="data" outline="0" fieldPosition="0">
        <references count="2">
          <reference field="4294967294" count="1" selected="0">
            <x v="0"/>
          </reference>
          <reference field="13" count="1" selected="0">
            <x v="1"/>
          </reference>
        </references>
      </pivotArea>
    </chartFormat>
    <chartFormat chart="9" format="5">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1F80FD-4536-4FE3-9948-1B98FF620C05}" name="PivotTable10"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H27:I33"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showAll="0"/>
    <pivotField showAll="0">
      <items count="11">
        <item x="5"/>
        <item x="2"/>
        <item x="8"/>
        <item x="1"/>
        <item x="4"/>
        <item x="0"/>
        <item x="3"/>
        <item x="9"/>
        <item x="7"/>
        <item x="6"/>
        <item t="default"/>
      </items>
    </pivotField>
    <pivotField numFmtId="1" showAll="0"/>
    <pivotField numFmtId="1" showAll="0"/>
    <pivotField dataField="1" numFmtId="1" showAll="0"/>
    <pivotField showAll="0">
      <items count="5">
        <item x="1"/>
        <item x="2"/>
        <item x="0"/>
        <item x="3"/>
        <item t="default"/>
      </items>
    </pivotField>
    <pivotField showAll="0">
      <items count="6">
        <item x="0"/>
        <item x="3"/>
        <item x="2"/>
        <item x="4"/>
        <item x="1"/>
        <item t="default"/>
      </items>
    </pivotField>
    <pivotField axis="axisRow" showAll="0">
      <items count="6">
        <item x="0"/>
        <item x="3"/>
        <item x="2"/>
        <item x="4"/>
        <item x="1"/>
        <item t="default"/>
      </items>
    </pivotField>
    <pivotField dragToRow="0" dragToCol="0" dragToPage="0" showAll="0" defaultSubtotal="0"/>
    <pivotField showAll="0" defaultSubtotal="0"/>
    <pivotField showAll="0" defaultSubtotal="0"/>
    <pivotField showAll="0">
      <items count="8">
        <item x="3"/>
        <item x="4"/>
        <item x="5"/>
        <item x="6"/>
        <item x="2"/>
        <item x="0"/>
        <item x="1"/>
        <item t="default"/>
      </items>
    </pivotField>
  </pivotFields>
  <rowFields count="1">
    <field x="9"/>
  </rowFields>
  <rowItems count="6">
    <i>
      <x/>
    </i>
    <i>
      <x v="1"/>
    </i>
    <i>
      <x v="2"/>
    </i>
    <i>
      <x v="3"/>
    </i>
    <i>
      <x v="4"/>
    </i>
    <i t="grand">
      <x/>
    </i>
  </rowItems>
  <colItems count="1">
    <i/>
  </colItems>
  <dataFields count="1">
    <dataField name="Sum of Total" fld="6" baseField="0" baseItem="0"/>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1"/>
          </reference>
        </references>
      </pivotArea>
    </chartFormat>
    <chartFormat chart="3" format="4">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5926FE-B713-4209-93F9-0EA8ED6701F2}" name="PivotTable1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K8:L16"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showAll="0"/>
    <pivotField showAll="0">
      <items count="11">
        <item x="5"/>
        <item x="2"/>
        <item x="8"/>
        <item x="1"/>
        <item x="4"/>
        <item x="0"/>
        <item x="3"/>
        <item x="9"/>
        <item x="7"/>
        <item x="6"/>
        <item t="default"/>
      </items>
    </pivotField>
    <pivotField dataField="1" numFmtId="1" showAll="0"/>
    <pivotField numFmtId="1" showAll="0"/>
    <pivotField numFmtId="1" showAll="0"/>
    <pivotField showAll="0">
      <items count="5">
        <item x="1"/>
        <item x="2"/>
        <item x="0"/>
        <item x="3"/>
        <item t="default"/>
      </items>
    </pivotField>
    <pivotField showAll="0">
      <items count="6">
        <item x="0"/>
        <item x="3"/>
        <item x="2"/>
        <item x="4"/>
        <item x="1"/>
        <item t="default"/>
      </items>
    </pivotField>
    <pivotField showAll="0">
      <items count="6">
        <item x="0"/>
        <item x="3"/>
        <item x="2"/>
        <item x="4"/>
        <item x="1"/>
        <item t="default"/>
      </items>
    </pivotField>
    <pivotField dragToRow="0" dragToCol="0" dragToPage="0" showAll="0" defaultSubtotal="0"/>
    <pivotField showAll="0" defaultSubtotal="0"/>
    <pivotField showAll="0" defaultSubtotal="0"/>
    <pivotField axis="axisRow" showAll="0">
      <items count="8">
        <item x="3"/>
        <item x="4"/>
        <item x="5"/>
        <item x="6"/>
        <item n="Other" x="2"/>
        <item x="0"/>
        <item x="1"/>
        <item t="default"/>
      </items>
    </pivotField>
  </pivotFields>
  <rowFields count="1">
    <field x="13"/>
  </rowFields>
  <rowItems count="8">
    <i>
      <x/>
    </i>
    <i>
      <x v="1"/>
    </i>
    <i>
      <x v="2"/>
    </i>
    <i>
      <x v="3"/>
    </i>
    <i>
      <x v="4"/>
    </i>
    <i>
      <x v="5"/>
    </i>
    <i>
      <x v="6"/>
    </i>
    <i t="grand">
      <x/>
    </i>
  </rowItems>
  <colItems count="1">
    <i/>
  </colItems>
  <dataFields count="1">
    <dataField name="Sum of Quantity" fld="4" baseField="0" baseItem="0"/>
  </dataFields>
  <chartFormats count="8">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13" count="1" selected="0">
            <x v="0"/>
          </reference>
        </references>
      </pivotArea>
    </chartFormat>
    <chartFormat chart="3" format="18">
      <pivotArea type="data" outline="0" fieldPosition="0">
        <references count="2">
          <reference field="4294967294" count="1" selected="0">
            <x v="0"/>
          </reference>
          <reference field="13" count="1" selected="0">
            <x v="1"/>
          </reference>
        </references>
      </pivotArea>
    </chartFormat>
    <chartFormat chart="3" format="19">
      <pivotArea type="data" outline="0" fieldPosition="0">
        <references count="2">
          <reference field="4294967294" count="1" selected="0">
            <x v="0"/>
          </reference>
          <reference field="13" count="1" selected="0">
            <x v="2"/>
          </reference>
        </references>
      </pivotArea>
    </chartFormat>
    <chartFormat chart="3" format="20">
      <pivotArea type="data" outline="0" fieldPosition="0">
        <references count="2">
          <reference field="4294967294" count="1" selected="0">
            <x v="0"/>
          </reference>
          <reference field="13" count="1" selected="0">
            <x v="3"/>
          </reference>
        </references>
      </pivotArea>
    </chartFormat>
    <chartFormat chart="3" format="21">
      <pivotArea type="data" outline="0" fieldPosition="0">
        <references count="2">
          <reference field="4294967294" count="1" selected="0">
            <x v="0"/>
          </reference>
          <reference field="13" count="1" selected="0">
            <x v="4"/>
          </reference>
        </references>
      </pivotArea>
    </chartFormat>
    <chartFormat chart="3" format="22">
      <pivotArea type="data" outline="0" fieldPosition="0">
        <references count="2">
          <reference field="4294967294" count="1" selected="0">
            <x v="0"/>
          </reference>
          <reference field="13" count="1" selected="0">
            <x v="5"/>
          </reference>
        </references>
      </pivotArea>
    </chartFormat>
    <chartFormat chart="3" format="23">
      <pivotArea type="data" outline="0" fieldPosition="0">
        <references count="2">
          <reference field="4294967294" count="1" selected="0">
            <x v="0"/>
          </reference>
          <reference field="1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B10ABC-FE5E-40FA-A730-E9CC98C20C0C}"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G8:H19" firstHeaderRow="1" firstDataRow="1" firstDataCol="1"/>
  <pivotFields count="14">
    <pivotField showAll="0"/>
    <pivotField numFmtId="14" showAll="0">
      <items count="15">
        <item x="0"/>
        <item x="1"/>
        <item x="2"/>
        <item x="3"/>
        <item x="4"/>
        <item x="5"/>
        <item x="6"/>
        <item x="7"/>
        <item x="8"/>
        <item x="9"/>
        <item x="10"/>
        <item x="11"/>
        <item x="12"/>
        <item x="13"/>
        <item t="default"/>
      </items>
    </pivotField>
    <pivotField axis="axisRow" showAll="0" measureFilter="1">
      <items count="12">
        <item x="4"/>
        <item x="2"/>
        <item x="0"/>
        <item x="1"/>
        <item x="5"/>
        <item x="8"/>
        <item x="9"/>
        <item x="7"/>
        <item x="6"/>
        <item x="10"/>
        <item x="3"/>
        <item t="default"/>
      </items>
    </pivotField>
    <pivotField showAll="0">
      <items count="11">
        <item x="5"/>
        <item x="2"/>
        <item x="8"/>
        <item x="1"/>
        <item x="4"/>
        <item x="0"/>
        <item x="3"/>
        <item x="9"/>
        <item x="7"/>
        <item x="6"/>
        <item t="default"/>
      </items>
    </pivotField>
    <pivotField numFmtId="1" showAll="0"/>
    <pivotField numFmtId="1" showAll="0"/>
    <pivotField dataField="1" numFmtId="1" showAll="0"/>
    <pivotField showAll="0">
      <items count="5">
        <item x="1"/>
        <item x="2"/>
        <item x="0"/>
        <item x="3"/>
        <item t="default"/>
      </items>
    </pivotField>
    <pivotField showAll="0">
      <items count="6">
        <item x="0"/>
        <item x="3"/>
        <item x="2"/>
        <item x="4"/>
        <item x="1"/>
        <item t="default"/>
      </items>
    </pivotField>
    <pivotField showAll="0">
      <items count="6">
        <item x="0"/>
        <item x="3"/>
        <item x="2"/>
        <item x="4"/>
        <item x="1"/>
        <item t="default"/>
      </items>
    </pivotField>
    <pivotField dragToRow="0" dragToCol="0" dragToPage="0" showAll="0" defaultSubtotal="0"/>
    <pivotField showAll="0" defaultSubtotal="0"/>
    <pivotField showAll="0" defaultSubtotal="0"/>
    <pivotField showAll="0">
      <items count="8">
        <item x="3"/>
        <item x="4"/>
        <item x="5"/>
        <item x="6"/>
        <item x="2"/>
        <item x="0"/>
        <item x="1"/>
        <item t="default"/>
      </items>
    </pivotField>
  </pivotFields>
  <rowFields count="1">
    <field x="2"/>
  </rowFields>
  <rowItems count="11">
    <i>
      <x/>
    </i>
    <i>
      <x v="1"/>
    </i>
    <i>
      <x v="2"/>
    </i>
    <i>
      <x v="3"/>
    </i>
    <i>
      <x v="4"/>
    </i>
    <i>
      <x v="5"/>
    </i>
    <i>
      <x v="6"/>
    </i>
    <i>
      <x v="7"/>
    </i>
    <i>
      <x v="9"/>
    </i>
    <i>
      <x v="10"/>
    </i>
    <i t="grand">
      <x/>
    </i>
  </rowItems>
  <colItems count="1">
    <i/>
  </colItems>
  <dataFields count="1">
    <dataField name="Sum of Total" fld="6" baseField="0" baseItem="0"/>
  </dataField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7"/>
          </reference>
        </references>
      </pivotArea>
    </chartFormat>
    <chartFormat chart="3" format="4">
      <pivotArea type="data" outline="0" fieldPosition="0">
        <references count="2">
          <reference field="4294967294" count="1" selected="0">
            <x v="0"/>
          </reference>
          <reference field="2" count="1" selected="0">
            <x v="10"/>
          </reference>
        </references>
      </pivotArea>
    </chartFormat>
    <chartFormat chart="3" format="5">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996653-BA3F-4E37-8C37-FE0F91FC5D3A}"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7:C42" firstHeaderRow="0" firstDataRow="1" firstDataCol="1"/>
  <pivotFields count="14">
    <pivotField dataField="1" showAll="0">
      <items count="9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t="default"/>
      </items>
    </pivotField>
    <pivotField numFmtId="14" showAll="0"/>
    <pivotField showAll="0"/>
    <pivotField showAll="0">
      <items count="11">
        <item x="5"/>
        <item x="2"/>
        <item x="8"/>
        <item x="1"/>
        <item x="4"/>
        <item x="0"/>
        <item x="3"/>
        <item x="9"/>
        <item x="7"/>
        <item x="6"/>
        <item t="default"/>
      </items>
    </pivotField>
    <pivotField numFmtId="1" showAll="0"/>
    <pivotField numFmtId="1" showAll="0"/>
    <pivotField numFmtId="1" showAll="0"/>
    <pivotField axis="axisRow" dataField="1" showAll="0">
      <items count="5">
        <item x="1"/>
        <item x="2"/>
        <item x="0"/>
        <item x="3"/>
        <item t="default"/>
      </items>
    </pivotField>
    <pivotField showAll="0"/>
    <pivotField showAll="0"/>
    <pivotField dragToRow="0" dragToCol="0" dragToPage="0" showAll="0" defaultSubtotal="0"/>
    <pivotField showAll="0" defaultSubtotal="0"/>
    <pivotField showAll="0" defaultSubtotal="0"/>
    <pivotField showAll="0" defaultSubtotal="0">
      <items count="7">
        <item x="0"/>
        <item x="1"/>
        <item x="2"/>
        <item x="3"/>
        <item x="4"/>
        <item x="5"/>
        <item x="6"/>
      </items>
    </pivotField>
  </pivotFields>
  <rowFields count="1">
    <field x="7"/>
  </rowFields>
  <rowItems count="5">
    <i>
      <x/>
    </i>
    <i>
      <x v="1"/>
    </i>
    <i>
      <x v="2"/>
    </i>
    <i>
      <x v="3"/>
    </i>
    <i t="grand">
      <x/>
    </i>
  </rowItems>
  <colFields count="1">
    <field x="-2"/>
  </colFields>
  <colItems count="2">
    <i>
      <x/>
    </i>
    <i i="1">
      <x v="1"/>
    </i>
  </colItems>
  <dataFields count="2">
    <dataField name="Count of Transaction_ID" fld="0" subtotal="count" baseField="0" baseItem="0"/>
    <dataField name="Count of Payment_Method" fld="7" subtotal="count" showDataAs="percentOfTotal" baseField="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D5C509B-ABDB-4F2E-81D9-8AD11BA2B4CE}" name="TOTAL_REVENUE"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A4" firstHeaderRow="1" firstDataRow="1" firstDataCol="0"/>
  <pivotFields count="14">
    <pivotField showAll="0"/>
    <pivotField numFmtId="14" showAll="0">
      <items count="15">
        <item x="0"/>
        <item x="1"/>
        <item x="2"/>
        <item x="3"/>
        <item x="4"/>
        <item x="5"/>
        <item x="6"/>
        <item x="7"/>
        <item x="8"/>
        <item x="9"/>
        <item x="10"/>
        <item x="11"/>
        <item x="12"/>
        <item x="13"/>
        <item t="default"/>
      </items>
    </pivotField>
    <pivotField showAll="0"/>
    <pivotField showAll="0">
      <items count="11">
        <item x="5"/>
        <item x="2"/>
        <item x="8"/>
        <item x="1"/>
        <item x="4"/>
        <item x="0"/>
        <item x="3"/>
        <item x="9"/>
        <item x="7"/>
        <item x="6"/>
        <item t="default"/>
      </items>
    </pivotField>
    <pivotField showAll="0"/>
    <pivotField showAll="0"/>
    <pivotField dataField="1" showAll="0"/>
    <pivotField showAll="0">
      <items count="5">
        <item x="1"/>
        <item x="2"/>
        <item x="0"/>
        <item x="3"/>
        <item t="default"/>
      </items>
    </pivotField>
    <pivotField showAll="0">
      <items count="6">
        <item x="0"/>
        <item x="3"/>
        <item x="2"/>
        <item x="4"/>
        <item x="1"/>
        <item t="default"/>
      </items>
    </pivotField>
    <pivotField showAll="0">
      <items count="6">
        <item x="0"/>
        <item x="3"/>
        <item x="2"/>
        <item x="4"/>
        <item x="1"/>
        <item t="default"/>
      </items>
    </pivotField>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 showAll="0">
      <items count="8">
        <item x="3"/>
        <item x="4"/>
        <item x="5"/>
        <item x="6"/>
        <item x="2"/>
        <item x="0"/>
        <item x="1"/>
        <item t="default"/>
      </items>
    </pivotField>
  </pivotFields>
  <rowItems count="1">
    <i/>
  </rowItems>
  <colItems count="1">
    <i/>
  </colItems>
  <dataFields count="1">
    <dataField name="TOTAL REVENUE" fld="6" baseField="0" baseItem="0" numFmtId="165"/>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4544396-4685-45BD-8089-DD0B02103B9A}" sourceName="Product">
  <pivotTables>
    <pivotTable tabId="2" name="PivotTable7"/>
    <pivotTable tabId="2" name="TOTAL_REVENUE"/>
    <pivotTable tabId="2" name="PivotTable10"/>
    <pivotTable tabId="2" name="PivotTable11"/>
    <pivotTable tabId="2" name="PivotTable2"/>
    <pivotTable tabId="2" name="PivotTable4"/>
    <pivotTable tabId="2" name="PivotTable5"/>
    <pivotTable tabId="2" name="PivotTable8"/>
    <pivotTable tabId="2" name="PivotTable9"/>
  </pivotTables>
  <data>
    <tabular pivotCacheId="1096343041">
      <items count="10">
        <i x="5" s="1"/>
        <i x="2" s="1"/>
        <i x="8" s="1"/>
        <i x="1" s="1"/>
        <i x="4" s="1"/>
        <i x="0" s="1"/>
        <i x="3" s="1"/>
        <i x="9" s="1"/>
        <i x="7"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76D3441-0DC3-45DF-B384-EA16D0BB7B80}" sourceName="Payment_Method">
  <pivotTables>
    <pivotTable tabId="2" name="PivotTable7"/>
    <pivotTable tabId="2" name="TOTAL_REVENUE"/>
    <pivotTable tabId="2" name="PivotTable10"/>
    <pivotTable tabId="2" name="PivotTable11"/>
    <pivotTable tabId="2" name="PivotTable2"/>
    <pivotTable tabId="2" name="PivotTable4"/>
    <pivotTable tabId="2" name="PivotTable5"/>
    <pivotTable tabId="2" name="PivotTable8"/>
    <pivotTable tabId="2" name="PivotTable9"/>
  </pivotTables>
  <data>
    <tabular pivotCacheId="1096343041">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4D9ED518-816D-404E-9F85-F94855F65384}" sourceName="Branch">
  <pivotTables>
    <pivotTable tabId="2" name="PivotTable7"/>
    <pivotTable tabId="2" name="TOTAL_REVENUE"/>
    <pivotTable tabId="2" name="PivotTable10"/>
    <pivotTable tabId="2" name="PivotTable11"/>
    <pivotTable tabId="2" name="PivotTable2"/>
    <pivotTable tabId="2" name="PivotTable4"/>
    <pivotTable tabId="2" name="PivotTable5"/>
    <pivotTable tabId="2" name="PivotTable8"/>
    <pivotTable tabId="2" name="PivotTable9"/>
  </pivotTables>
  <data>
    <tabular pivotCacheId="1096343041">
      <items count="5">
        <i x="0" s="1"/>
        <i x="3" s="1"/>
        <i x="2"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A0BA966-7B6F-4AED-B368-1BF7B74BBE94}" sourceName="City">
  <pivotTables>
    <pivotTable tabId="2" name="PivotTable7"/>
    <pivotTable tabId="2" name="TOTAL_REVENUE"/>
    <pivotTable tabId="2" name="PivotTable10"/>
    <pivotTable tabId="2" name="PivotTable11"/>
    <pivotTable tabId="2" name="PivotTable2"/>
    <pivotTable tabId="2" name="PivotTable4"/>
    <pivotTable tabId="2" name="PivotTable5"/>
    <pivotTable tabId="2" name="PivotTable8"/>
    <pivotTable tabId="2" name="PivotTable9"/>
  </pivotTables>
  <data>
    <tabular pivotCacheId="1096343041">
      <items count="5">
        <i x="0" s="1"/>
        <i x="3"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B6EE3200-5824-43B5-983C-5C2E923AA069}" cache="Slicer_Product" caption="Kategori Product" columnCount="2" style="customise" rowHeight="360000"/>
  <slicer name="Payment_Method" xr10:uid="{516E8F0D-2F1B-4218-93B5-070F65745EA8}" cache="Slicer_Payment_Method" caption="Pay Metode" columnCount="2" style="customise" rowHeight="241300"/>
  <slicer name="Branch" xr10:uid="{636019B2-E1CC-4983-9782-3C771492DFEB}" cache="Slicer_Branch" caption="Branch" style="customise" rowHeight="324000"/>
  <slicer name="City" xr10:uid="{7CE831ED-CB0B-451F-BFC9-D7E9B9185923}" cache="Slicer_City" caption="City" style="customise"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992" totalsRowShown="0">
  <autoFilter ref="A1:J992" xr:uid="{00000000-0009-0000-0100-000001000000}">
    <filterColumn colId="1">
      <filters>
        <dateGroupItem year="2023" dateTimeGrouping="year"/>
      </filters>
    </filterColumn>
  </autoFilter>
  <tableColumns count="10">
    <tableColumn id="1" xr3:uid="{00000000-0010-0000-0000-000001000000}" name="Transaction_ID"/>
    <tableColumn id="2" xr3:uid="{00000000-0010-0000-0000-000002000000}" name="Date" dataDxfId="5"/>
    <tableColumn id="3" xr3:uid="{00000000-0010-0000-0000-000003000000}" name="Customer_Name"/>
    <tableColumn id="4" xr3:uid="{00000000-0010-0000-0000-000004000000}" name="Product"/>
    <tableColumn id="11" xr3:uid="{73506DE8-4567-4319-ADED-61B496D5C0C4}" name="Quantity" dataDxfId="4"/>
    <tableColumn id="5" xr3:uid="{00000000-0010-0000-0000-000005000000}" name="Price" dataDxfId="3"/>
    <tableColumn id="6" xr3:uid="{00000000-0010-0000-0000-000006000000}" name="Total" dataDxfId="2"/>
    <tableColumn id="8" xr3:uid="{00000000-0010-0000-0000-000008000000}" name="Payment_Method"/>
    <tableColumn id="9" xr3:uid="{00000000-0010-0000-0000-000009000000}" name="Branch"/>
    <tableColumn id="10" xr3:uid="{00000000-0010-0000-0000-00000A000000}" name="C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01C3D19-7E9D-45CC-AC11-FD532238FE6C}" sourceName="Date">
  <pivotTables>
    <pivotTable tabId="2" name="PivotTable5"/>
    <pivotTable tabId="2" name="PivotTable10"/>
    <pivotTable tabId="2" name="PivotTable11"/>
    <pivotTable tabId="2" name="PivotTable2"/>
    <pivotTable tabId="2" name="PivotTable4"/>
    <pivotTable tabId="2" name="PivotTable7"/>
    <pivotTable tabId="2" name="PivotTable8"/>
    <pivotTable tabId="2" name="PivotTable9"/>
    <pivotTable tabId="2" name="TOTAL_REVENUE"/>
  </pivotTables>
  <state minimalRefreshVersion="6" lastRefreshVersion="6" pivotCacheId="109634304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0683CC2-DE87-4901-8E79-69D371A758F4}" cache="NativeTimeline_Date" caption="Tahun" showSelectionLabel="0" showTimeLevel="0" showHorizontalScrollbar="0" level="0"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2"/>
  <sheetViews>
    <sheetView tabSelected="1" workbookViewId="0">
      <selection activeCell="L6" sqref="L6"/>
    </sheetView>
  </sheetViews>
  <sheetFormatPr defaultRowHeight="15" x14ac:dyDescent="0.25"/>
  <cols>
    <col min="1" max="1" width="16.140625" customWidth="1"/>
    <col min="2" max="2" width="10.7109375" bestFit="1" customWidth="1"/>
    <col min="3" max="3" width="18" customWidth="1"/>
    <col min="4" max="4" width="19.42578125" bestFit="1" customWidth="1"/>
    <col min="5" max="5" width="19.42578125" customWidth="1"/>
    <col min="6" max="6" width="10.85546875" customWidth="1"/>
    <col min="7" max="7" width="9.5703125" bestFit="1" customWidth="1"/>
    <col min="8" max="8" width="19.140625" customWidth="1"/>
    <col min="9" max="10" width="10.5703125"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s="1">
        <v>45254</v>
      </c>
      <c r="C2" t="s">
        <v>11</v>
      </c>
      <c r="D2" t="s">
        <v>12</v>
      </c>
      <c r="E2" s="4">
        <v>1</v>
      </c>
      <c r="F2" s="4">
        <v>10000</v>
      </c>
      <c r="G2" s="4">
        <v>10000</v>
      </c>
      <c r="H2" t="s">
        <v>13</v>
      </c>
      <c r="I2" t="s">
        <v>14</v>
      </c>
      <c r="J2" t="s">
        <v>14</v>
      </c>
    </row>
    <row r="3" spans="1:10" x14ac:dyDescent="0.25">
      <c r="A3" t="s">
        <v>15</v>
      </c>
      <c r="B3" s="1">
        <v>44942</v>
      </c>
      <c r="C3" t="s">
        <v>16</v>
      </c>
      <c r="D3" t="s">
        <v>12</v>
      </c>
      <c r="E3" s="4">
        <v>2</v>
      </c>
      <c r="F3" s="4">
        <v>10000</v>
      </c>
      <c r="G3" s="4">
        <v>20000</v>
      </c>
      <c r="H3" t="s">
        <v>17</v>
      </c>
      <c r="I3" t="s">
        <v>18</v>
      </c>
      <c r="J3" t="s">
        <v>18</v>
      </c>
    </row>
    <row r="4" spans="1:10" x14ac:dyDescent="0.25">
      <c r="A4" t="s">
        <v>19</v>
      </c>
      <c r="B4" s="1">
        <v>44930</v>
      </c>
      <c r="C4" t="s">
        <v>16</v>
      </c>
      <c r="D4" t="s">
        <v>20</v>
      </c>
      <c r="E4" s="4">
        <v>3</v>
      </c>
      <c r="F4" s="4">
        <v>20000</v>
      </c>
      <c r="G4" s="4">
        <v>60000</v>
      </c>
      <c r="H4" t="s">
        <v>21</v>
      </c>
      <c r="I4" t="s">
        <v>14</v>
      </c>
      <c r="J4" t="s">
        <v>14</v>
      </c>
    </row>
    <row r="5" spans="1:10" x14ac:dyDescent="0.25">
      <c r="A5" t="s">
        <v>22</v>
      </c>
      <c r="B5" s="1">
        <v>45236</v>
      </c>
      <c r="C5" t="s">
        <v>23</v>
      </c>
      <c r="D5" t="s">
        <v>24</v>
      </c>
      <c r="E5" s="4">
        <v>1</v>
      </c>
      <c r="F5" s="4">
        <v>10000</v>
      </c>
      <c r="G5" s="4">
        <v>10000</v>
      </c>
      <c r="H5" t="s">
        <v>17</v>
      </c>
      <c r="I5" t="s">
        <v>25</v>
      </c>
      <c r="J5" t="s">
        <v>25</v>
      </c>
    </row>
    <row r="6" spans="1:10" x14ac:dyDescent="0.25">
      <c r="A6" t="s">
        <v>26</v>
      </c>
      <c r="B6" s="1">
        <v>45287</v>
      </c>
      <c r="C6" t="s">
        <v>16</v>
      </c>
      <c r="D6" t="s">
        <v>12</v>
      </c>
      <c r="E6" s="4">
        <v>1</v>
      </c>
      <c r="F6" s="4">
        <v>10000</v>
      </c>
      <c r="G6" s="4">
        <v>10000</v>
      </c>
      <c r="H6" t="s">
        <v>21</v>
      </c>
      <c r="I6" t="s">
        <v>27</v>
      </c>
      <c r="J6" t="s">
        <v>27</v>
      </c>
    </row>
    <row r="7" spans="1:10" x14ac:dyDescent="0.25">
      <c r="A7" t="s">
        <v>28</v>
      </c>
      <c r="B7" s="1">
        <v>45108</v>
      </c>
      <c r="C7" t="s">
        <v>29</v>
      </c>
      <c r="D7" t="s">
        <v>30</v>
      </c>
      <c r="E7" s="4">
        <v>3</v>
      </c>
      <c r="F7" s="4">
        <v>15000</v>
      </c>
      <c r="G7" s="4">
        <v>45000</v>
      </c>
      <c r="H7" t="s">
        <v>17</v>
      </c>
      <c r="I7" t="s">
        <v>18</v>
      </c>
      <c r="J7" t="s">
        <v>18</v>
      </c>
    </row>
    <row r="8" spans="1:10" x14ac:dyDescent="0.25">
      <c r="A8" t="s">
        <v>31</v>
      </c>
      <c r="B8" s="1">
        <v>45254</v>
      </c>
      <c r="C8" t="s">
        <v>32</v>
      </c>
      <c r="D8" t="s">
        <v>33</v>
      </c>
      <c r="E8" s="4">
        <v>2</v>
      </c>
      <c r="F8" s="4">
        <v>10000</v>
      </c>
      <c r="G8" s="4">
        <v>20000</v>
      </c>
      <c r="H8" t="s">
        <v>17</v>
      </c>
      <c r="I8" t="s">
        <v>14</v>
      </c>
      <c r="J8" t="s">
        <v>14</v>
      </c>
    </row>
    <row r="9" spans="1:10" x14ac:dyDescent="0.25">
      <c r="A9" t="s">
        <v>34</v>
      </c>
      <c r="B9" s="1">
        <v>45088</v>
      </c>
      <c r="C9" t="s">
        <v>35</v>
      </c>
      <c r="D9" t="s">
        <v>30</v>
      </c>
      <c r="E9" s="4">
        <v>3</v>
      </c>
      <c r="F9" s="4">
        <v>20000</v>
      </c>
      <c r="G9" s="4">
        <v>60000</v>
      </c>
      <c r="H9" t="s">
        <v>36</v>
      </c>
      <c r="I9" t="s">
        <v>14</v>
      </c>
      <c r="J9" t="s">
        <v>14</v>
      </c>
    </row>
    <row r="10" spans="1:10" x14ac:dyDescent="0.25">
      <c r="A10" t="s">
        <v>37</v>
      </c>
      <c r="B10" s="1">
        <v>45225</v>
      </c>
      <c r="C10" t="s">
        <v>32</v>
      </c>
      <c r="D10" t="s">
        <v>38</v>
      </c>
      <c r="E10" s="4">
        <v>3</v>
      </c>
      <c r="F10" s="4">
        <v>10000</v>
      </c>
      <c r="G10" s="4">
        <v>30000</v>
      </c>
      <c r="H10" t="s">
        <v>36</v>
      </c>
      <c r="I10" t="s">
        <v>27</v>
      </c>
      <c r="J10" t="s">
        <v>27</v>
      </c>
    </row>
    <row r="11" spans="1:10" x14ac:dyDescent="0.25">
      <c r="A11" t="s">
        <v>39</v>
      </c>
      <c r="B11" s="1">
        <v>45124</v>
      </c>
      <c r="C11" t="s">
        <v>32</v>
      </c>
      <c r="D11" t="s">
        <v>38</v>
      </c>
      <c r="E11" s="4">
        <v>5</v>
      </c>
      <c r="F11" s="4">
        <v>20000</v>
      </c>
      <c r="G11" s="4">
        <v>100000</v>
      </c>
      <c r="H11" t="s">
        <v>21</v>
      </c>
      <c r="I11" t="s">
        <v>18</v>
      </c>
      <c r="J11" t="s">
        <v>18</v>
      </c>
    </row>
    <row r="12" spans="1:10" x14ac:dyDescent="0.25">
      <c r="A12" t="s">
        <v>40</v>
      </c>
      <c r="B12" s="1">
        <v>45101</v>
      </c>
      <c r="C12" t="s">
        <v>35</v>
      </c>
      <c r="D12" t="s">
        <v>12</v>
      </c>
      <c r="E12" s="4">
        <v>3</v>
      </c>
      <c r="F12" s="4">
        <v>20000</v>
      </c>
      <c r="G12" s="4">
        <v>60000</v>
      </c>
      <c r="H12" t="s">
        <v>36</v>
      </c>
      <c r="I12" t="s">
        <v>27</v>
      </c>
      <c r="J12" t="s">
        <v>27</v>
      </c>
    </row>
    <row r="13" spans="1:10" x14ac:dyDescent="0.25">
      <c r="A13" t="s">
        <v>41</v>
      </c>
      <c r="B13" s="1">
        <v>45254</v>
      </c>
      <c r="C13" t="s">
        <v>42</v>
      </c>
      <c r="D13" t="s">
        <v>33</v>
      </c>
      <c r="E13" s="4">
        <v>5</v>
      </c>
      <c r="F13" s="4">
        <v>10000</v>
      </c>
      <c r="G13" s="4">
        <v>50000</v>
      </c>
      <c r="H13" t="s">
        <v>21</v>
      </c>
      <c r="I13" t="s">
        <v>14</v>
      </c>
      <c r="J13" t="s">
        <v>14</v>
      </c>
    </row>
    <row r="14" spans="1:10" x14ac:dyDescent="0.25">
      <c r="A14" t="s">
        <v>43</v>
      </c>
      <c r="B14" s="1">
        <v>44984</v>
      </c>
      <c r="C14" t="s">
        <v>23</v>
      </c>
      <c r="D14" t="s">
        <v>44</v>
      </c>
      <c r="E14" s="4">
        <v>3</v>
      </c>
      <c r="F14" s="4">
        <v>10000</v>
      </c>
      <c r="G14" s="4">
        <v>30000</v>
      </c>
      <c r="H14" t="s">
        <v>13</v>
      </c>
      <c r="I14" t="s">
        <v>18</v>
      </c>
      <c r="J14" t="s">
        <v>18</v>
      </c>
    </row>
    <row r="15" spans="1:10" x14ac:dyDescent="0.25">
      <c r="A15" t="s">
        <v>45</v>
      </c>
      <c r="B15" s="1">
        <v>44992</v>
      </c>
      <c r="C15" t="s">
        <v>42</v>
      </c>
      <c r="D15" t="s">
        <v>24</v>
      </c>
      <c r="E15" s="4">
        <v>5</v>
      </c>
      <c r="F15" s="4">
        <v>10000</v>
      </c>
      <c r="G15" s="4">
        <v>50000</v>
      </c>
      <c r="H15" t="s">
        <v>36</v>
      </c>
      <c r="I15" t="s">
        <v>14</v>
      </c>
      <c r="J15" t="s">
        <v>14</v>
      </c>
    </row>
    <row r="16" spans="1:10" x14ac:dyDescent="0.25">
      <c r="A16" t="s">
        <v>46</v>
      </c>
      <c r="B16" s="1">
        <v>45116</v>
      </c>
      <c r="C16" t="s">
        <v>23</v>
      </c>
      <c r="D16" t="s">
        <v>24</v>
      </c>
      <c r="E16" s="4">
        <v>5</v>
      </c>
      <c r="F16" s="4">
        <v>20000</v>
      </c>
      <c r="G16" s="4">
        <v>100000</v>
      </c>
      <c r="H16" t="s">
        <v>13</v>
      </c>
      <c r="I16" t="s">
        <v>14</v>
      </c>
      <c r="J16" t="s">
        <v>14</v>
      </c>
    </row>
    <row r="17" spans="1:10" x14ac:dyDescent="0.25">
      <c r="A17" t="s">
        <v>47</v>
      </c>
      <c r="B17" s="1">
        <v>45250</v>
      </c>
      <c r="C17" t="s">
        <v>42</v>
      </c>
      <c r="D17" t="s">
        <v>48</v>
      </c>
      <c r="E17" s="4">
        <v>2</v>
      </c>
      <c r="F17" s="4">
        <v>5000</v>
      </c>
      <c r="G17" s="4">
        <v>10000</v>
      </c>
      <c r="H17" t="s">
        <v>21</v>
      </c>
      <c r="I17" t="s">
        <v>27</v>
      </c>
      <c r="J17" t="s">
        <v>27</v>
      </c>
    </row>
    <row r="18" spans="1:10" x14ac:dyDescent="0.25">
      <c r="A18" t="s">
        <v>49</v>
      </c>
      <c r="B18" s="1">
        <v>45219</v>
      </c>
      <c r="C18" t="s">
        <v>23</v>
      </c>
      <c r="D18" t="s">
        <v>50</v>
      </c>
      <c r="E18" s="4">
        <v>4</v>
      </c>
      <c r="F18" s="4">
        <v>10000</v>
      </c>
      <c r="G18" s="4">
        <v>40000</v>
      </c>
      <c r="H18" t="s">
        <v>36</v>
      </c>
      <c r="I18" t="s">
        <v>14</v>
      </c>
      <c r="J18" t="s">
        <v>14</v>
      </c>
    </row>
    <row r="19" spans="1:10" x14ac:dyDescent="0.25">
      <c r="A19" t="s">
        <v>51</v>
      </c>
      <c r="B19" s="1">
        <v>45271</v>
      </c>
      <c r="C19" t="s">
        <v>16</v>
      </c>
      <c r="D19" t="s">
        <v>12</v>
      </c>
      <c r="E19" s="4">
        <v>1</v>
      </c>
      <c r="F19" s="4">
        <v>20000</v>
      </c>
      <c r="G19" s="4">
        <v>20000</v>
      </c>
      <c r="H19" t="s">
        <v>21</v>
      </c>
      <c r="I19" t="s">
        <v>27</v>
      </c>
      <c r="J19" t="s">
        <v>27</v>
      </c>
    </row>
    <row r="20" spans="1:10" x14ac:dyDescent="0.25">
      <c r="A20" t="s">
        <v>52</v>
      </c>
      <c r="B20" s="1">
        <v>45116</v>
      </c>
      <c r="C20" t="s">
        <v>16</v>
      </c>
      <c r="D20" t="s">
        <v>24</v>
      </c>
      <c r="E20" s="4">
        <v>5</v>
      </c>
      <c r="F20" s="4">
        <v>5000</v>
      </c>
      <c r="G20" s="4">
        <v>25000</v>
      </c>
      <c r="H20" t="s">
        <v>17</v>
      </c>
      <c r="I20" t="s">
        <v>27</v>
      </c>
      <c r="J20" t="s">
        <v>27</v>
      </c>
    </row>
    <row r="21" spans="1:10" x14ac:dyDescent="0.25">
      <c r="A21" t="s">
        <v>53</v>
      </c>
      <c r="B21" s="1">
        <v>45116</v>
      </c>
      <c r="C21" t="s">
        <v>42</v>
      </c>
      <c r="D21" t="s">
        <v>48</v>
      </c>
      <c r="E21" s="4">
        <v>4</v>
      </c>
      <c r="F21" s="4">
        <v>15000</v>
      </c>
      <c r="G21" s="4">
        <v>60000</v>
      </c>
      <c r="H21" t="s">
        <v>21</v>
      </c>
      <c r="I21" t="s">
        <v>25</v>
      </c>
      <c r="J21" t="s">
        <v>25</v>
      </c>
    </row>
    <row r="22" spans="1:10" x14ac:dyDescent="0.25">
      <c r="A22" t="s">
        <v>54</v>
      </c>
      <c r="B22" s="1">
        <v>45116</v>
      </c>
      <c r="C22" t="s">
        <v>55</v>
      </c>
      <c r="D22" t="s">
        <v>48</v>
      </c>
      <c r="E22" s="4">
        <v>3</v>
      </c>
      <c r="F22" s="4">
        <v>15000</v>
      </c>
      <c r="G22" s="4">
        <v>45000</v>
      </c>
      <c r="H22" t="s">
        <v>17</v>
      </c>
      <c r="I22" t="s">
        <v>18</v>
      </c>
      <c r="J22" t="s">
        <v>18</v>
      </c>
    </row>
    <row r="23" spans="1:10" x14ac:dyDescent="0.25">
      <c r="A23" t="s">
        <v>56</v>
      </c>
      <c r="B23" s="1">
        <v>45116</v>
      </c>
      <c r="C23" t="s">
        <v>23</v>
      </c>
      <c r="D23" t="s">
        <v>12</v>
      </c>
      <c r="E23" s="4">
        <v>5</v>
      </c>
      <c r="F23" s="4">
        <v>5000</v>
      </c>
      <c r="G23" s="4">
        <v>25000</v>
      </c>
      <c r="H23" t="s">
        <v>13</v>
      </c>
      <c r="I23" t="s">
        <v>25</v>
      </c>
      <c r="J23" t="s">
        <v>25</v>
      </c>
    </row>
    <row r="24" spans="1:10" x14ac:dyDescent="0.25">
      <c r="A24" t="s">
        <v>57</v>
      </c>
      <c r="B24" s="1">
        <v>45263</v>
      </c>
      <c r="C24" t="s">
        <v>29</v>
      </c>
      <c r="D24" t="s">
        <v>50</v>
      </c>
      <c r="E24" s="4">
        <v>5</v>
      </c>
      <c r="F24" s="4">
        <v>15000</v>
      </c>
      <c r="G24" s="4">
        <v>75000</v>
      </c>
      <c r="H24" t="s">
        <v>21</v>
      </c>
      <c r="I24" t="s">
        <v>14</v>
      </c>
      <c r="J24" t="s">
        <v>14</v>
      </c>
    </row>
    <row r="25" spans="1:10" x14ac:dyDescent="0.25">
      <c r="A25" t="s">
        <v>58</v>
      </c>
      <c r="B25" s="1">
        <v>45088</v>
      </c>
      <c r="C25" t="s">
        <v>42</v>
      </c>
      <c r="D25" t="s">
        <v>12</v>
      </c>
      <c r="E25" s="4">
        <v>1</v>
      </c>
      <c r="F25" s="4">
        <v>20000</v>
      </c>
      <c r="G25" s="4">
        <v>20000</v>
      </c>
      <c r="H25" t="s">
        <v>17</v>
      </c>
      <c r="I25" t="s">
        <v>27</v>
      </c>
      <c r="J25" t="s">
        <v>27</v>
      </c>
    </row>
    <row r="26" spans="1:10" x14ac:dyDescent="0.25">
      <c r="A26" t="s">
        <v>59</v>
      </c>
      <c r="B26" s="1">
        <v>45116</v>
      </c>
      <c r="C26" t="s">
        <v>29</v>
      </c>
      <c r="D26" t="s">
        <v>60</v>
      </c>
      <c r="E26" s="4">
        <v>2</v>
      </c>
      <c r="F26" s="4">
        <v>20000</v>
      </c>
      <c r="G26" s="4">
        <v>40000</v>
      </c>
      <c r="H26" t="s">
        <v>21</v>
      </c>
      <c r="I26" t="s">
        <v>18</v>
      </c>
      <c r="J26" t="s">
        <v>18</v>
      </c>
    </row>
    <row r="27" spans="1:10" x14ac:dyDescent="0.25">
      <c r="A27" t="s">
        <v>61</v>
      </c>
      <c r="B27" s="1">
        <v>44995</v>
      </c>
      <c r="C27" t="s">
        <v>35</v>
      </c>
      <c r="D27" t="s">
        <v>60</v>
      </c>
      <c r="E27" s="4">
        <v>1</v>
      </c>
      <c r="F27" s="4">
        <v>5000</v>
      </c>
      <c r="G27" s="4">
        <v>5000</v>
      </c>
      <c r="H27" t="s">
        <v>13</v>
      </c>
      <c r="I27" t="s">
        <v>62</v>
      </c>
      <c r="J27" t="s">
        <v>62</v>
      </c>
    </row>
    <row r="28" spans="1:10" x14ac:dyDescent="0.25">
      <c r="A28" t="s">
        <v>63</v>
      </c>
      <c r="B28" s="1">
        <v>45177</v>
      </c>
      <c r="C28" t="s">
        <v>32</v>
      </c>
      <c r="D28" t="s">
        <v>60</v>
      </c>
      <c r="E28" s="4">
        <v>1</v>
      </c>
      <c r="F28" s="4">
        <v>5000</v>
      </c>
      <c r="G28" s="4">
        <v>5000</v>
      </c>
      <c r="H28" t="s">
        <v>36</v>
      </c>
      <c r="I28" t="s">
        <v>62</v>
      </c>
      <c r="J28" t="s">
        <v>62</v>
      </c>
    </row>
    <row r="29" spans="1:10" x14ac:dyDescent="0.25">
      <c r="A29" t="s">
        <v>64</v>
      </c>
      <c r="B29" s="1">
        <v>45116</v>
      </c>
      <c r="C29" t="s">
        <v>42</v>
      </c>
      <c r="D29" t="s">
        <v>38</v>
      </c>
      <c r="E29" s="4">
        <v>5</v>
      </c>
      <c r="F29" s="4">
        <v>5000</v>
      </c>
      <c r="G29" s="4">
        <v>25000</v>
      </c>
      <c r="H29" t="s">
        <v>17</v>
      </c>
      <c r="I29" t="s">
        <v>14</v>
      </c>
      <c r="J29" t="s">
        <v>14</v>
      </c>
    </row>
    <row r="30" spans="1:10" x14ac:dyDescent="0.25">
      <c r="A30" t="s">
        <v>65</v>
      </c>
      <c r="B30" s="1">
        <v>45113</v>
      </c>
      <c r="C30" t="s">
        <v>66</v>
      </c>
      <c r="D30" t="s">
        <v>48</v>
      </c>
      <c r="E30" s="4">
        <v>3</v>
      </c>
      <c r="F30" s="4">
        <v>10000</v>
      </c>
      <c r="G30" s="4">
        <v>30000</v>
      </c>
      <c r="H30" t="s">
        <v>13</v>
      </c>
      <c r="I30" t="s">
        <v>27</v>
      </c>
      <c r="J30" t="s">
        <v>27</v>
      </c>
    </row>
    <row r="31" spans="1:10" x14ac:dyDescent="0.25">
      <c r="A31" t="s">
        <v>67</v>
      </c>
      <c r="B31" s="1">
        <v>45048</v>
      </c>
      <c r="C31" t="s">
        <v>68</v>
      </c>
      <c r="D31" t="s">
        <v>20</v>
      </c>
      <c r="E31" s="4">
        <v>2</v>
      </c>
      <c r="F31" s="4">
        <v>20000</v>
      </c>
      <c r="G31" s="4">
        <v>40000</v>
      </c>
      <c r="H31" t="s">
        <v>13</v>
      </c>
      <c r="I31" t="s">
        <v>62</v>
      </c>
      <c r="J31" t="s">
        <v>62</v>
      </c>
    </row>
    <row r="32" spans="1:10" x14ac:dyDescent="0.25">
      <c r="A32" t="s">
        <v>69</v>
      </c>
      <c r="B32" s="1">
        <v>44982</v>
      </c>
      <c r="C32" t="s">
        <v>55</v>
      </c>
      <c r="D32" t="s">
        <v>38</v>
      </c>
      <c r="E32" s="4">
        <v>1</v>
      </c>
      <c r="F32" s="4">
        <v>12500</v>
      </c>
      <c r="G32" s="4">
        <v>12500</v>
      </c>
      <c r="H32" t="s">
        <v>13</v>
      </c>
      <c r="I32" t="s">
        <v>14</v>
      </c>
      <c r="J32" t="s">
        <v>14</v>
      </c>
    </row>
    <row r="33" spans="1:10" x14ac:dyDescent="0.25">
      <c r="A33" t="s">
        <v>70</v>
      </c>
      <c r="B33" s="1">
        <v>45116</v>
      </c>
      <c r="C33" t="s">
        <v>29</v>
      </c>
      <c r="D33" t="s">
        <v>44</v>
      </c>
      <c r="E33" s="4">
        <v>3</v>
      </c>
      <c r="F33" s="4">
        <v>12500</v>
      </c>
      <c r="G33" s="4">
        <v>37500</v>
      </c>
      <c r="H33" t="s">
        <v>21</v>
      </c>
      <c r="I33" t="s">
        <v>62</v>
      </c>
      <c r="J33" t="s">
        <v>62</v>
      </c>
    </row>
    <row r="34" spans="1:10" x14ac:dyDescent="0.25">
      <c r="A34" t="s">
        <v>71</v>
      </c>
      <c r="B34" s="1">
        <v>45060</v>
      </c>
      <c r="C34" t="s">
        <v>68</v>
      </c>
      <c r="D34" t="s">
        <v>20</v>
      </c>
      <c r="E34" s="4">
        <v>5</v>
      </c>
      <c r="F34" s="4">
        <v>15000</v>
      </c>
      <c r="G34" s="4">
        <v>75000</v>
      </c>
      <c r="H34" t="s">
        <v>17</v>
      </c>
      <c r="I34" t="s">
        <v>18</v>
      </c>
      <c r="J34" t="s">
        <v>18</v>
      </c>
    </row>
    <row r="35" spans="1:10" x14ac:dyDescent="0.25">
      <c r="A35" t="s">
        <v>72</v>
      </c>
      <c r="B35" s="1">
        <v>45222</v>
      </c>
      <c r="C35" t="s">
        <v>42</v>
      </c>
      <c r="D35" t="s">
        <v>30</v>
      </c>
      <c r="E35" s="4">
        <v>3</v>
      </c>
      <c r="F35" s="4">
        <v>5000</v>
      </c>
      <c r="G35" s="4">
        <v>15000</v>
      </c>
      <c r="H35" t="s">
        <v>36</v>
      </c>
      <c r="I35" t="s">
        <v>27</v>
      </c>
      <c r="J35" t="s">
        <v>27</v>
      </c>
    </row>
    <row r="36" spans="1:10" x14ac:dyDescent="0.25">
      <c r="A36" t="s">
        <v>73</v>
      </c>
      <c r="B36" s="1">
        <v>45113</v>
      </c>
      <c r="C36" t="s">
        <v>35</v>
      </c>
      <c r="D36" t="s">
        <v>38</v>
      </c>
      <c r="E36" s="4">
        <v>1</v>
      </c>
      <c r="F36" s="4">
        <v>10000</v>
      </c>
      <c r="G36" s="4">
        <v>10000</v>
      </c>
      <c r="H36" t="s">
        <v>21</v>
      </c>
      <c r="I36" t="s">
        <v>27</v>
      </c>
      <c r="J36" t="s">
        <v>27</v>
      </c>
    </row>
    <row r="37" spans="1:10" x14ac:dyDescent="0.25">
      <c r="A37" t="s">
        <v>74</v>
      </c>
      <c r="B37" s="1">
        <v>45025</v>
      </c>
      <c r="C37" t="s">
        <v>75</v>
      </c>
      <c r="D37" t="s">
        <v>38</v>
      </c>
      <c r="E37" s="4">
        <v>3</v>
      </c>
      <c r="F37" s="4">
        <v>20000</v>
      </c>
      <c r="G37" s="4">
        <v>60000</v>
      </c>
      <c r="H37" t="s">
        <v>13</v>
      </c>
      <c r="I37" t="s">
        <v>27</v>
      </c>
      <c r="J37" t="s">
        <v>18</v>
      </c>
    </row>
    <row r="38" spans="1:10" x14ac:dyDescent="0.25">
      <c r="A38" t="s">
        <v>76</v>
      </c>
      <c r="B38" s="1">
        <v>45223</v>
      </c>
      <c r="C38" t="s">
        <v>29</v>
      </c>
      <c r="D38" t="s">
        <v>50</v>
      </c>
      <c r="E38" s="4">
        <v>3</v>
      </c>
      <c r="F38" s="4">
        <v>15000</v>
      </c>
      <c r="G38" s="4">
        <v>45000</v>
      </c>
      <c r="H38" t="s">
        <v>36</v>
      </c>
      <c r="I38" t="s">
        <v>25</v>
      </c>
      <c r="J38" t="s">
        <v>25</v>
      </c>
    </row>
    <row r="39" spans="1:10" x14ac:dyDescent="0.25">
      <c r="A39" t="s">
        <v>77</v>
      </c>
      <c r="B39" s="1">
        <v>44970</v>
      </c>
      <c r="C39" t="s">
        <v>16</v>
      </c>
      <c r="D39" t="s">
        <v>60</v>
      </c>
      <c r="E39" s="4">
        <v>5</v>
      </c>
      <c r="F39" s="4">
        <v>10000</v>
      </c>
      <c r="G39" s="4">
        <v>50000</v>
      </c>
      <c r="H39" t="s">
        <v>21</v>
      </c>
      <c r="I39" t="s">
        <v>27</v>
      </c>
      <c r="J39" t="s">
        <v>27</v>
      </c>
    </row>
    <row r="40" spans="1:10" x14ac:dyDescent="0.25">
      <c r="A40" t="s">
        <v>78</v>
      </c>
      <c r="B40" s="1">
        <v>45170</v>
      </c>
      <c r="C40" t="s">
        <v>55</v>
      </c>
      <c r="D40" t="s">
        <v>50</v>
      </c>
      <c r="E40" s="4">
        <v>1</v>
      </c>
      <c r="F40" s="4">
        <v>20000</v>
      </c>
      <c r="G40" s="4">
        <v>20000</v>
      </c>
      <c r="H40" t="s">
        <v>13</v>
      </c>
      <c r="I40" t="s">
        <v>25</v>
      </c>
      <c r="J40" t="s">
        <v>25</v>
      </c>
    </row>
    <row r="41" spans="1:10" x14ac:dyDescent="0.25">
      <c r="A41" t="s">
        <v>79</v>
      </c>
      <c r="B41" s="1">
        <v>44981</v>
      </c>
      <c r="C41" t="s">
        <v>42</v>
      </c>
      <c r="D41" t="s">
        <v>38</v>
      </c>
      <c r="E41" s="4">
        <v>2</v>
      </c>
      <c r="F41" s="4">
        <v>10000</v>
      </c>
      <c r="G41" s="4">
        <v>20000</v>
      </c>
      <c r="H41" t="s">
        <v>36</v>
      </c>
      <c r="I41" t="s">
        <v>27</v>
      </c>
      <c r="J41" t="s">
        <v>27</v>
      </c>
    </row>
    <row r="42" spans="1:10" x14ac:dyDescent="0.25">
      <c r="A42" t="s">
        <v>80</v>
      </c>
      <c r="B42" s="1">
        <v>45213</v>
      </c>
      <c r="C42" t="s">
        <v>55</v>
      </c>
      <c r="D42" t="s">
        <v>50</v>
      </c>
      <c r="E42" s="4">
        <v>3</v>
      </c>
      <c r="F42" s="4">
        <v>12500</v>
      </c>
      <c r="G42" s="4">
        <v>37500</v>
      </c>
      <c r="H42" t="s">
        <v>36</v>
      </c>
      <c r="I42" t="s">
        <v>18</v>
      </c>
      <c r="J42" t="s">
        <v>18</v>
      </c>
    </row>
    <row r="43" spans="1:10" x14ac:dyDescent="0.25">
      <c r="A43" t="s">
        <v>81</v>
      </c>
      <c r="B43" s="1">
        <v>45253</v>
      </c>
      <c r="C43" t="s">
        <v>55</v>
      </c>
      <c r="D43" t="s">
        <v>60</v>
      </c>
      <c r="E43" s="4">
        <v>5</v>
      </c>
      <c r="F43" s="4">
        <v>20000</v>
      </c>
      <c r="G43" s="4">
        <v>100000</v>
      </c>
      <c r="H43" t="s">
        <v>13</v>
      </c>
      <c r="I43" t="s">
        <v>62</v>
      </c>
      <c r="J43" t="s">
        <v>62</v>
      </c>
    </row>
    <row r="44" spans="1:10" x14ac:dyDescent="0.25">
      <c r="A44" t="s">
        <v>82</v>
      </c>
      <c r="B44" s="1">
        <v>44997</v>
      </c>
      <c r="C44" t="s">
        <v>23</v>
      </c>
      <c r="D44" t="s">
        <v>20</v>
      </c>
      <c r="E44" s="4">
        <v>2</v>
      </c>
      <c r="F44" s="4">
        <v>20000</v>
      </c>
      <c r="G44" s="4">
        <v>40000</v>
      </c>
      <c r="H44" t="s">
        <v>13</v>
      </c>
      <c r="I44" t="s">
        <v>14</v>
      </c>
      <c r="J44" t="s">
        <v>14</v>
      </c>
    </row>
    <row r="45" spans="1:10" x14ac:dyDescent="0.25">
      <c r="A45" t="s">
        <v>83</v>
      </c>
      <c r="B45" s="1">
        <v>45126</v>
      </c>
      <c r="C45" t="s">
        <v>32</v>
      </c>
      <c r="D45" t="s">
        <v>50</v>
      </c>
      <c r="E45" s="4">
        <v>3</v>
      </c>
      <c r="F45" s="4">
        <v>5000</v>
      </c>
      <c r="G45" s="4">
        <v>15000</v>
      </c>
      <c r="H45" t="s">
        <v>36</v>
      </c>
      <c r="I45" t="s">
        <v>25</v>
      </c>
      <c r="J45" t="s">
        <v>25</v>
      </c>
    </row>
    <row r="46" spans="1:10" x14ac:dyDescent="0.25">
      <c r="A46" t="s">
        <v>84</v>
      </c>
      <c r="B46" s="1">
        <v>45202</v>
      </c>
      <c r="C46" t="s">
        <v>68</v>
      </c>
      <c r="D46" t="s">
        <v>33</v>
      </c>
      <c r="E46" s="4">
        <v>5</v>
      </c>
      <c r="F46" s="4">
        <v>10000</v>
      </c>
      <c r="G46" s="4">
        <v>50000</v>
      </c>
      <c r="H46" t="s">
        <v>13</v>
      </c>
      <c r="I46" t="s">
        <v>62</v>
      </c>
      <c r="J46" t="s">
        <v>62</v>
      </c>
    </row>
    <row r="47" spans="1:10" x14ac:dyDescent="0.25">
      <c r="A47" t="s">
        <v>85</v>
      </c>
      <c r="B47" s="1">
        <v>45166</v>
      </c>
      <c r="C47" t="s">
        <v>75</v>
      </c>
      <c r="D47" t="s">
        <v>20</v>
      </c>
      <c r="E47" s="4">
        <v>5</v>
      </c>
      <c r="F47" s="4">
        <v>15000</v>
      </c>
      <c r="G47" s="4">
        <v>75000</v>
      </c>
      <c r="H47" t="s">
        <v>36</v>
      </c>
      <c r="I47" t="s">
        <v>18</v>
      </c>
      <c r="J47" t="s">
        <v>18</v>
      </c>
    </row>
    <row r="48" spans="1:10" x14ac:dyDescent="0.25">
      <c r="A48" t="s">
        <v>86</v>
      </c>
      <c r="B48" s="1">
        <v>45060</v>
      </c>
      <c r="C48" t="s">
        <v>68</v>
      </c>
      <c r="D48" t="s">
        <v>38</v>
      </c>
      <c r="E48" s="4">
        <v>3</v>
      </c>
      <c r="F48" s="4">
        <v>10000</v>
      </c>
      <c r="G48" s="4">
        <v>30000</v>
      </c>
      <c r="H48" t="s">
        <v>21</v>
      </c>
      <c r="I48" t="s">
        <v>62</v>
      </c>
      <c r="J48" t="s">
        <v>62</v>
      </c>
    </row>
    <row r="49" spans="1:10" x14ac:dyDescent="0.25">
      <c r="A49" t="s">
        <v>87</v>
      </c>
      <c r="B49" s="1">
        <v>45203</v>
      </c>
      <c r="C49" t="s">
        <v>32</v>
      </c>
      <c r="D49" t="s">
        <v>48</v>
      </c>
      <c r="E49" s="4">
        <v>3</v>
      </c>
      <c r="F49" s="4">
        <v>10000</v>
      </c>
      <c r="G49" s="4">
        <v>30000</v>
      </c>
      <c r="H49" t="s">
        <v>17</v>
      </c>
      <c r="I49" t="s">
        <v>27</v>
      </c>
      <c r="J49" t="s">
        <v>27</v>
      </c>
    </row>
    <row r="50" spans="1:10" x14ac:dyDescent="0.25">
      <c r="A50" t="s">
        <v>88</v>
      </c>
      <c r="B50" s="1">
        <v>45269</v>
      </c>
      <c r="C50" t="s">
        <v>11</v>
      </c>
      <c r="D50" t="s">
        <v>12</v>
      </c>
      <c r="E50" s="4">
        <v>5</v>
      </c>
      <c r="F50" s="4">
        <v>10000</v>
      </c>
      <c r="G50" s="4">
        <v>50000</v>
      </c>
      <c r="H50" t="s">
        <v>21</v>
      </c>
      <c r="I50" t="s">
        <v>62</v>
      </c>
      <c r="J50" t="s">
        <v>62</v>
      </c>
    </row>
    <row r="51" spans="1:10" x14ac:dyDescent="0.25">
      <c r="A51" t="s">
        <v>89</v>
      </c>
      <c r="B51" s="1">
        <v>45086</v>
      </c>
      <c r="C51" t="s">
        <v>16</v>
      </c>
      <c r="D51" t="s">
        <v>12</v>
      </c>
      <c r="E51" s="4">
        <v>5</v>
      </c>
      <c r="F51" s="4">
        <v>5000</v>
      </c>
      <c r="G51" s="4">
        <v>25000</v>
      </c>
      <c r="H51" t="s">
        <v>36</v>
      </c>
      <c r="I51" t="s">
        <v>25</v>
      </c>
      <c r="J51" t="s">
        <v>25</v>
      </c>
    </row>
    <row r="52" spans="1:10" x14ac:dyDescent="0.25">
      <c r="A52" t="s">
        <v>90</v>
      </c>
      <c r="B52" s="1">
        <v>45277</v>
      </c>
      <c r="C52" t="s">
        <v>42</v>
      </c>
      <c r="D52" t="s">
        <v>50</v>
      </c>
      <c r="E52" s="4">
        <v>1</v>
      </c>
      <c r="F52" s="4">
        <v>12500</v>
      </c>
      <c r="G52" s="4">
        <v>12500</v>
      </c>
      <c r="H52" t="s">
        <v>17</v>
      </c>
      <c r="I52" t="s">
        <v>62</v>
      </c>
      <c r="J52" t="s">
        <v>62</v>
      </c>
    </row>
    <row r="53" spans="1:10" x14ac:dyDescent="0.25">
      <c r="A53" t="s">
        <v>91</v>
      </c>
      <c r="B53" s="1">
        <v>45177</v>
      </c>
      <c r="C53" t="s">
        <v>68</v>
      </c>
      <c r="D53" t="s">
        <v>12</v>
      </c>
      <c r="E53" s="4">
        <v>4</v>
      </c>
      <c r="F53" s="4">
        <v>15000</v>
      </c>
      <c r="G53" s="4">
        <v>60000</v>
      </c>
      <c r="H53" t="s">
        <v>36</v>
      </c>
      <c r="I53" t="s">
        <v>14</v>
      </c>
      <c r="J53" t="s">
        <v>14</v>
      </c>
    </row>
    <row r="54" spans="1:10" x14ac:dyDescent="0.25">
      <c r="A54" t="s">
        <v>92</v>
      </c>
      <c r="B54" s="1">
        <v>45174</v>
      </c>
      <c r="C54" t="s">
        <v>16</v>
      </c>
      <c r="D54" t="s">
        <v>24</v>
      </c>
      <c r="E54" s="4">
        <v>4</v>
      </c>
      <c r="F54" s="4">
        <v>12500</v>
      </c>
      <c r="G54" s="4">
        <v>50000</v>
      </c>
      <c r="H54" t="s">
        <v>21</v>
      </c>
      <c r="I54" t="s">
        <v>62</v>
      </c>
      <c r="J54" t="s">
        <v>62</v>
      </c>
    </row>
    <row r="55" spans="1:10" x14ac:dyDescent="0.25">
      <c r="A55" t="s">
        <v>93</v>
      </c>
      <c r="B55" s="1">
        <v>45239</v>
      </c>
      <c r="C55" t="s">
        <v>55</v>
      </c>
      <c r="D55" t="s">
        <v>38</v>
      </c>
      <c r="E55" s="4">
        <v>3</v>
      </c>
      <c r="F55" s="4">
        <v>5000</v>
      </c>
      <c r="G55" s="4">
        <v>15000</v>
      </c>
      <c r="H55" t="s">
        <v>21</v>
      </c>
      <c r="I55" t="s">
        <v>14</v>
      </c>
      <c r="J55" t="s">
        <v>14</v>
      </c>
    </row>
    <row r="56" spans="1:10" x14ac:dyDescent="0.25">
      <c r="A56" t="s">
        <v>94</v>
      </c>
      <c r="B56" s="1">
        <v>45068</v>
      </c>
      <c r="C56" t="s">
        <v>68</v>
      </c>
      <c r="D56" t="s">
        <v>33</v>
      </c>
      <c r="E56" s="4">
        <v>1</v>
      </c>
      <c r="F56" s="4">
        <v>15000</v>
      </c>
      <c r="G56" s="4">
        <v>15000</v>
      </c>
      <c r="H56" t="s">
        <v>17</v>
      </c>
      <c r="I56" t="s">
        <v>14</v>
      </c>
      <c r="J56" t="s">
        <v>14</v>
      </c>
    </row>
    <row r="57" spans="1:10" x14ac:dyDescent="0.25">
      <c r="A57" t="s">
        <v>95</v>
      </c>
      <c r="B57" s="1">
        <v>44935</v>
      </c>
      <c r="C57" t="s">
        <v>29</v>
      </c>
      <c r="D57" t="s">
        <v>24</v>
      </c>
      <c r="E57" s="4">
        <v>3</v>
      </c>
      <c r="F57" s="4">
        <v>10000</v>
      </c>
      <c r="G57" s="4">
        <v>30000</v>
      </c>
      <c r="H57" t="s">
        <v>13</v>
      </c>
      <c r="I57" t="s">
        <v>62</v>
      </c>
      <c r="J57" t="s">
        <v>62</v>
      </c>
    </row>
    <row r="58" spans="1:10" x14ac:dyDescent="0.25">
      <c r="A58" t="s">
        <v>96</v>
      </c>
      <c r="B58" s="1">
        <v>45096</v>
      </c>
      <c r="C58" t="s">
        <v>16</v>
      </c>
      <c r="D58" t="s">
        <v>44</v>
      </c>
      <c r="E58" s="4">
        <v>3</v>
      </c>
      <c r="F58" s="4">
        <v>20000</v>
      </c>
      <c r="G58" s="4">
        <v>60000</v>
      </c>
      <c r="H58" t="s">
        <v>21</v>
      </c>
      <c r="I58" t="s">
        <v>62</v>
      </c>
      <c r="J58" t="s">
        <v>62</v>
      </c>
    </row>
    <row r="59" spans="1:10" x14ac:dyDescent="0.25">
      <c r="A59" t="s">
        <v>97</v>
      </c>
      <c r="B59" s="1">
        <v>45021</v>
      </c>
      <c r="C59" t="s">
        <v>42</v>
      </c>
      <c r="D59" t="s">
        <v>30</v>
      </c>
      <c r="E59" s="4">
        <v>2</v>
      </c>
      <c r="F59" s="4">
        <v>10000</v>
      </c>
      <c r="G59" s="4">
        <v>20000</v>
      </c>
      <c r="H59" t="s">
        <v>21</v>
      </c>
      <c r="I59" t="s">
        <v>18</v>
      </c>
      <c r="J59" t="s">
        <v>18</v>
      </c>
    </row>
    <row r="60" spans="1:10" x14ac:dyDescent="0.25">
      <c r="A60" t="s">
        <v>98</v>
      </c>
      <c r="B60" s="1">
        <v>45081</v>
      </c>
      <c r="C60" t="s">
        <v>32</v>
      </c>
      <c r="D60" t="s">
        <v>48</v>
      </c>
      <c r="E60" s="4">
        <v>3</v>
      </c>
      <c r="F60" s="4">
        <v>15000</v>
      </c>
      <c r="G60" s="4">
        <v>45000</v>
      </c>
      <c r="H60" t="s">
        <v>21</v>
      </c>
      <c r="I60" t="s">
        <v>27</v>
      </c>
      <c r="J60" t="s">
        <v>27</v>
      </c>
    </row>
    <row r="61" spans="1:10" x14ac:dyDescent="0.25">
      <c r="A61" t="s">
        <v>99</v>
      </c>
      <c r="B61" s="1">
        <v>45116</v>
      </c>
      <c r="C61" t="s">
        <v>11</v>
      </c>
      <c r="D61" t="s">
        <v>50</v>
      </c>
      <c r="E61" s="4">
        <v>3</v>
      </c>
      <c r="F61" s="4">
        <v>20000</v>
      </c>
      <c r="G61" s="4">
        <v>60000</v>
      </c>
      <c r="H61" t="s">
        <v>36</v>
      </c>
      <c r="I61" t="s">
        <v>62</v>
      </c>
      <c r="J61" t="s">
        <v>62</v>
      </c>
    </row>
    <row r="62" spans="1:10" x14ac:dyDescent="0.25">
      <c r="A62" t="s">
        <v>100</v>
      </c>
      <c r="B62" s="1">
        <v>45178</v>
      </c>
      <c r="C62" t="s">
        <v>11</v>
      </c>
      <c r="D62" t="s">
        <v>12</v>
      </c>
      <c r="E62" s="4">
        <v>5</v>
      </c>
      <c r="F62" s="4">
        <v>10000</v>
      </c>
      <c r="G62" s="4">
        <v>50000</v>
      </c>
      <c r="H62" t="s">
        <v>17</v>
      </c>
      <c r="I62" t="s">
        <v>14</v>
      </c>
      <c r="J62" t="s">
        <v>14</v>
      </c>
    </row>
    <row r="63" spans="1:10" x14ac:dyDescent="0.25">
      <c r="A63" t="s">
        <v>101</v>
      </c>
      <c r="B63" s="1">
        <v>45140</v>
      </c>
      <c r="C63" t="s">
        <v>68</v>
      </c>
      <c r="D63" t="s">
        <v>50</v>
      </c>
      <c r="E63" s="4">
        <v>5</v>
      </c>
      <c r="F63" s="4">
        <v>12500</v>
      </c>
      <c r="G63" s="4">
        <v>62500</v>
      </c>
      <c r="H63" t="s">
        <v>13</v>
      </c>
      <c r="I63" t="s">
        <v>18</v>
      </c>
      <c r="J63" t="s">
        <v>18</v>
      </c>
    </row>
    <row r="64" spans="1:10" x14ac:dyDescent="0.25">
      <c r="A64" t="s">
        <v>102</v>
      </c>
      <c r="B64" s="1">
        <v>45116</v>
      </c>
      <c r="C64" t="s">
        <v>35</v>
      </c>
      <c r="D64" t="s">
        <v>48</v>
      </c>
      <c r="E64" s="4">
        <v>5</v>
      </c>
      <c r="F64" s="4">
        <v>10000</v>
      </c>
      <c r="G64" s="4">
        <v>50000</v>
      </c>
      <c r="H64" t="s">
        <v>13</v>
      </c>
      <c r="I64" t="s">
        <v>14</v>
      </c>
      <c r="J64" t="s">
        <v>14</v>
      </c>
    </row>
    <row r="65" spans="1:10" x14ac:dyDescent="0.25">
      <c r="A65" t="s">
        <v>103</v>
      </c>
      <c r="B65" s="1">
        <v>45157</v>
      </c>
      <c r="C65" t="s">
        <v>35</v>
      </c>
      <c r="D65" t="s">
        <v>50</v>
      </c>
      <c r="E65" s="4">
        <v>4</v>
      </c>
      <c r="F65" s="4">
        <v>15000</v>
      </c>
      <c r="G65" s="4">
        <v>60000</v>
      </c>
      <c r="H65" t="s">
        <v>13</v>
      </c>
      <c r="I65" t="s">
        <v>62</v>
      </c>
      <c r="J65" t="s">
        <v>62</v>
      </c>
    </row>
    <row r="66" spans="1:10" x14ac:dyDescent="0.25">
      <c r="A66" t="s">
        <v>104</v>
      </c>
      <c r="B66" s="1">
        <v>45116</v>
      </c>
      <c r="C66" t="s">
        <v>42</v>
      </c>
      <c r="D66" t="s">
        <v>50</v>
      </c>
      <c r="E66" s="4">
        <v>3</v>
      </c>
      <c r="F66" s="4">
        <v>12500</v>
      </c>
      <c r="G66" s="4">
        <v>37500</v>
      </c>
      <c r="H66" t="s">
        <v>36</v>
      </c>
      <c r="I66" t="s">
        <v>27</v>
      </c>
      <c r="J66" t="s">
        <v>27</v>
      </c>
    </row>
    <row r="67" spans="1:10" x14ac:dyDescent="0.25">
      <c r="A67" t="s">
        <v>105</v>
      </c>
      <c r="B67" s="1">
        <v>45084</v>
      </c>
      <c r="C67" t="s">
        <v>23</v>
      </c>
      <c r="D67" t="s">
        <v>50</v>
      </c>
      <c r="E67" s="4">
        <v>3</v>
      </c>
      <c r="F67" s="4">
        <v>12500</v>
      </c>
      <c r="G67" s="4">
        <v>37500</v>
      </c>
      <c r="H67" t="s">
        <v>21</v>
      </c>
      <c r="I67" t="s">
        <v>25</v>
      </c>
      <c r="J67" t="s">
        <v>25</v>
      </c>
    </row>
    <row r="68" spans="1:10" x14ac:dyDescent="0.25">
      <c r="A68" t="s">
        <v>106</v>
      </c>
      <c r="B68" s="1">
        <v>45151</v>
      </c>
      <c r="C68" t="s">
        <v>35</v>
      </c>
      <c r="D68" t="s">
        <v>12</v>
      </c>
      <c r="E68" s="4">
        <v>5</v>
      </c>
      <c r="F68" s="4">
        <v>5000</v>
      </c>
      <c r="G68" s="4">
        <v>25000</v>
      </c>
      <c r="H68" t="s">
        <v>21</v>
      </c>
      <c r="I68" t="s">
        <v>18</v>
      </c>
      <c r="J68" t="s">
        <v>18</v>
      </c>
    </row>
    <row r="69" spans="1:10" x14ac:dyDescent="0.25">
      <c r="A69" t="s">
        <v>107</v>
      </c>
      <c r="B69" s="1">
        <v>44937</v>
      </c>
      <c r="C69" t="s">
        <v>29</v>
      </c>
      <c r="D69" t="s">
        <v>60</v>
      </c>
      <c r="E69" s="4">
        <v>5</v>
      </c>
      <c r="F69" s="4">
        <v>5000</v>
      </c>
      <c r="G69" s="4">
        <v>25000</v>
      </c>
      <c r="H69" t="s">
        <v>36</v>
      </c>
      <c r="I69" t="s">
        <v>18</v>
      </c>
      <c r="J69" t="s">
        <v>18</v>
      </c>
    </row>
    <row r="70" spans="1:10" x14ac:dyDescent="0.25">
      <c r="A70" t="s">
        <v>108</v>
      </c>
      <c r="B70" s="1">
        <v>44973</v>
      </c>
      <c r="C70" t="s">
        <v>11</v>
      </c>
      <c r="D70" t="s">
        <v>24</v>
      </c>
      <c r="E70" s="4">
        <v>3</v>
      </c>
      <c r="F70" s="4">
        <v>20000</v>
      </c>
      <c r="G70" s="4">
        <v>60000</v>
      </c>
      <c r="H70" t="s">
        <v>21</v>
      </c>
      <c r="I70" t="s">
        <v>27</v>
      </c>
      <c r="J70" t="s">
        <v>27</v>
      </c>
    </row>
    <row r="71" spans="1:10" x14ac:dyDescent="0.25">
      <c r="A71" t="s">
        <v>109</v>
      </c>
      <c r="B71" s="1">
        <v>45208</v>
      </c>
      <c r="C71" t="s">
        <v>23</v>
      </c>
      <c r="D71" t="s">
        <v>48</v>
      </c>
      <c r="E71" s="4">
        <v>4</v>
      </c>
      <c r="F71" s="4">
        <v>5000</v>
      </c>
      <c r="G71" s="4">
        <v>20000</v>
      </c>
      <c r="H71" t="s">
        <v>21</v>
      </c>
      <c r="I71" t="s">
        <v>62</v>
      </c>
      <c r="J71" t="s">
        <v>62</v>
      </c>
    </row>
    <row r="72" spans="1:10" x14ac:dyDescent="0.25">
      <c r="A72" t="s">
        <v>110</v>
      </c>
      <c r="B72" s="1">
        <v>45204</v>
      </c>
      <c r="C72" t="s">
        <v>55</v>
      </c>
      <c r="D72" t="s">
        <v>24</v>
      </c>
      <c r="E72" s="4">
        <v>4</v>
      </c>
      <c r="F72" s="4">
        <v>5000</v>
      </c>
      <c r="G72" s="4">
        <v>20000</v>
      </c>
      <c r="H72" t="s">
        <v>21</v>
      </c>
      <c r="I72" t="s">
        <v>18</v>
      </c>
      <c r="J72" t="s">
        <v>18</v>
      </c>
    </row>
    <row r="73" spans="1:10" x14ac:dyDescent="0.25">
      <c r="A73" t="s">
        <v>111</v>
      </c>
      <c r="B73" s="1">
        <v>45151</v>
      </c>
      <c r="C73" t="s">
        <v>35</v>
      </c>
      <c r="D73" t="s">
        <v>24</v>
      </c>
      <c r="E73" s="4">
        <v>1</v>
      </c>
      <c r="F73" s="4">
        <v>5000</v>
      </c>
      <c r="G73" s="4">
        <v>5000</v>
      </c>
      <c r="H73" t="s">
        <v>13</v>
      </c>
      <c r="I73" t="s">
        <v>14</v>
      </c>
      <c r="J73" t="s">
        <v>14</v>
      </c>
    </row>
    <row r="74" spans="1:10" x14ac:dyDescent="0.25">
      <c r="A74" t="s">
        <v>112</v>
      </c>
      <c r="B74" s="1">
        <v>45163</v>
      </c>
      <c r="C74" t="s">
        <v>42</v>
      </c>
      <c r="D74" t="s">
        <v>12</v>
      </c>
      <c r="E74" s="4">
        <v>3</v>
      </c>
      <c r="F74" s="4">
        <v>12500</v>
      </c>
      <c r="G74" s="4">
        <v>37500</v>
      </c>
      <c r="H74" t="s">
        <v>36</v>
      </c>
      <c r="I74" t="s">
        <v>62</v>
      </c>
      <c r="J74" t="s">
        <v>62</v>
      </c>
    </row>
    <row r="75" spans="1:10" x14ac:dyDescent="0.25">
      <c r="A75" t="s">
        <v>113</v>
      </c>
      <c r="B75" s="1">
        <v>45001</v>
      </c>
      <c r="C75" t="s">
        <v>35</v>
      </c>
      <c r="D75" t="s">
        <v>38</v>
      </c>
      <c r="E75" s="4">
        <v>2</v>
      </c>
      <c r="F75" s="4">
        <v>15000</v>
      </c>
      <c r="G75" s="4">
        <v>30000</v>
      </c>
      <c r="H75" t="s">
        <v>13</v>
      </c>
      <c r="I75" t="s">
        <v>27</v>
      </c>
      <c r="J75" t="s">
        <v>27</v>
      </c>
    </row>
    <row r="76" spans="1:10" x14ac:dyDescent="0.25">
      <c r="A76" t="s">
        <v>114</v>
      </c>
      <c r="B76" s="1">
        <v>44928</v>
      </c>
      <c r="C76" t="s">
        <v>55</v>
      </c>
      <c r="D76" t="s">
        <v>60</v>
      </c>
      <c r="E76" s="4">
        <v>3</v>
      </c>
      <c r="F76" s="4">
        <v>15000</v>
      </c>
      <c r="G76" s="4">
        <v>45000</v>
      </c>
      <c r="H76" t="s">
        <v>36</v>
      </c>
      <c r="I76" t="s">
        <v>14</v>
      </c>
      <c r="J76" t="s">
        <v>14</v>
      </c>
    </row>
    <row r="77" spans="1:10" x14ac:dyDescent="0.25">
      <c r="A77" t="s">
        <v>115</v>
      </c>
      <c r="B77" s="1">
        <v>45091</v>
      </c>
      <c r="C77" t="s">
        <v>68</v>
      </c>
      <c r="D77" t="s">
        <v>30</v>
      </c>
      <c r="E77" s="4">
        <v>3</v>
      </c>
      <c r="F77" s="4">
        <v>10000</v>
      </c>
      <c r="G77" s="4">
        <v>30000</v>
      </c>
      <c r="H77" t="s">
        <v>36</v>
      </c>
      <c r="I77" t="s">
        <v>14</v>
      </c>
      <c r="J77" t="s">
        <v>14</v>
      </c>
    </row>
    <row r="78" spans="1:10" x14ac:dyDescent="0.25">
      <c r="A78" t="s">
        <v>116</v>
      </c>
      <c r="B78" s="1">
        <v>45266</v>
      </c>
      <c r="C78" t="s">
        <v>55</v>
      </c>
      <c r="D78" t="s">
        <v>20</v>
      </c>
      <c r="E78" s="4">
        <v>4</v>
      </c>
      <c r="F78" s="4">
        <v>5000</v>
      </c>
      <c r="G78" s="4">
        <v>20000</v>
      </c>
      <c r="H78" t="s">
        <v>21</v>
      </c>
      <c r="I78" t="s">
        <v>27</v>
      </c>
      <c r="J78" t="s">
        <v>27</v>
      </c>
    </row>
    <row r="79" spans="1:10" x14ac:dyDescent="0.25">
      <c r="A79" t="s">
        <v>117</v>
      </c>
      <c r="B79" s="1">
        <v>45006</v>
      </c>
      <c r="C79" t="s">
        <v>68</v>
      </c>
      <c r="D79" t="s">
        <v>12</v>
      </c>
      <c r="E79" s="4">
        <v>4</v>
      </c>
      <c r="F79" s="4">
        <v>12500</v>
      </c>
      <c r="G79" s="4">
        <v>50000</v>
      </c>
      <c r="H79" t="s">
        <v>21</v>
      </c>
      <c r="I79" t="s">
        <v>18</v>
      </c>
      <c r="J79" t="s">
        <v>18</v>
      </c>
    </row>
    <row r="80" spans="1:10" x14ac:dyDescent="0.25">
      <c r="A80" t="s">
        <v>118</v>
      </c>
      <c r="B80" s="1">
        <v>45089</v>
      </c>
      <c r="C80" t="s">
        <v>29</v>
      </c>
      <c r="D80" t="s">
        <v>24</v>
      </c>
      <c r="E80" s="4">
        <v>5</v>
      </c>
      <c r="F80" s="4">
        <v>5000</v>
      </c>
      <c r="G80" s="4">
        <v>25000</v>
      </c>
      <c r="H80" t="s">
        <v>17</v>
      </c>
      <c r="I80" t="s">
        <v>14</v>
      </c>
      <c r="J80" t="s">
        <v>14</v>
      </c>
    </row>
    <row r="81" spans="1:10" x14ac:dyDescent="0.25">
      <c r="A81" t="s">
        <v>119</v>
      </c>
      <c r="B81" s="1">
        <v>45251</v>
      </c>
      <c r="C81" t="s">
        <v>32</v>
      </c>
      <c r="D81" t="s">
        <v>12</v>
      </c>
      <c r="E81" s="4">
        <v>4</v>
      </c>
      <c r="F81" s="4">
        <v>10000</v>
      </c>
      <c r="G81" s="4">
        <v>40000</v>
      </c>
      <c r="H81" t="s">
        <v>21</v>
      </c>
      <c r="I81" t="s">
        <v>27</v>
      </c>
      <c r="J81" t="s">
        <v>27</v>
      </c>
    </row>
    <row r="82" spans="1:10" x14ac:dyDescent="0.25">
      <c r="A82" t="s">
        <v>120</v>
      </c>
      <c r="B82" s="1">
        <v>45137</v>
      </c>
      <c r="C82" t="s">
        <v>23</v>
      </c>
      <c r="D82" t="s">
        <v>50</v>
      </c>
      <c r="E82" s="4">
        <v>3</v>
      </c>
      <c r="F82" s="4">
        <v>12500</v>
      </c>
      <c r="G82" s="4">
        <v>37500</v>
      </c>
      <c r="H82" t="s">
        <v>13</v>
      </c>
      <c r="I82" t="s">
        <v>14</v>
      </c>
      <c r="J82" t="s">
        <v>14</v>
      </c>
    </row>
    <row r="83" spans="1:10" x14ac:dyDescent="0.25">
      <c r="A83" t="s">
        <v>121</v>
      </c>
      <c r="B83" s="1">
        <v>45045</v>
      </c>
      <c r="C83" t="s">
        <v>55</v>
      </c>
      <c r="D83" t="s">
        <v>24</v>
      </c>
      <c r="E83" s="4">
        <v>3</v>
      </c>
      <c r="F83" s="4">
        <v>15000</v>
      </c>
      <c r="G83" s="4">
        <v>45000</v>
      </c>
      <c r="H83" t="s">
        <v>21</v>
      </c>
      <c r="I83" t="s">
        <v>27</v>
      </c>
      <c r="J83" t="s">
        <v>27</v>
      </c>
    </row>
    <row r="84" spans="1:10" x14ac:dyDescent="0.25">
      <c r="A84" t="s">
        <v>122</v>
      </c>
      <c r="B84" s="1">
        <v>45227</v>
      </c>
      <c r="C84" t="s">
        <v>35</v>
      </c>
      <c r="D84" t="s">
        <v>60</v>
      </c>
      <c r="E84" s="4">
        <v>3</v>
      </c>
      <c r="F84" s="4">
        <v>20000</v>
      </c>
      <c r="G84" s="4">
        <v>60000</v>
      </c>
      <c r="H84" t="s">
        <v>21</v>
      </c>
      <c r="I84" t="s">
        <v>25</v>
      </c>
      <c r="J84" t="s">
        <v>25</v>
      </c>
    </row>
    <row r="85" spans="1:10" x14ac:dyDescent="0.25">
      <c r="A85" t="s">
        <v>123</v>
      </c>
      <c r="B85" s="1">
        <v>45221</v>
      </c>
      <c r="C85" t="s">
        <v>32</v>
      </c>
      <c r="D85" t="s">
        <v>60</v>
      </c>
      <c r="E85" s="4">
        <v>3</v>
      </c>
      <c r="F85" s="4">
        <v>15000</v>
      </c>
      <c r="G85" s="4">
        <v>45000</v>
      </c>
      <c r="H85" t="s">
        <v>36</v>
      </c>
      <c r="I85" t="s">
        <v>62</v>
      </c>
      <c r="J85" t="s">
        <v>62</v>
      </c>
    </row>
    <row r="86" spans="1:10" x14ac:dyDescent="0.25">
      <c r="A86" t="s">
        <v>124</v>
      </c>
      <c r="B86" s="1">
        <v>45181</v>
      </c>
      <c r="C86" t="s">
        <v>75</v>
      </c>
      <c r="D86" t="s">
        <v>60</v>
      </c>
      <c r="E86" s="4">
        <v>2</v>
      </c>
      <c r="F86" s="4">
        <v>15000</v>
      </c>
      <c r="G86" s="4">
        <v>30000</v>
      </c>
      <c r="H86" t="s">
        <v>13</v>
      </c>
      <c r="I86" t="s">
        <v>14</v>
      </c>
      <c r="J86" t="s">
        <v>14</v>
      </c>
    </row>
    <row r="87" spans="1:10" x14ac:dyDescent="0.25">
      <c r="A87" t="s">
        <v>125</v>
      </c>
      <c r="B87" s="1">
        <v>44976</v>
      </c>
      <c r="C87" t="s">
        <v>66</v>
      </c>
      <c r="D87" t="s">
        <v>48</v>
      </c>
      <c r="E87" s="4">
        <v>3</v>
      </c>
      <c r="F87" s="4">
        <v>12500</v>
      </c>
      <c r="G87" s="4">
        <v>37500</v>
      </c>
      <c r="H87" t="s">
        <v>17</v>
      </c>
      <c r="I87" t="s">
        <v>18</v>
      </c>
      <c r="J87" t="s">
        <v>18</v>
      </c>
    </row>
    <row r="88" spans="1:10" x14ac:dyDescent="0.25">
      <c r="A88" t="s">
        <v>126</v>
      </c>
      <c r="B88" s="1">
        <v>44994</v>
      </c>
      <c r="C88" t="s">
        <v>35</v>
      </c>
      <c r="D88" t="s">
        <v>33</v>
      </c>
      <c r="E88" s="4">
        <v>3</v>
      </c>
      <c r="F88" s="4">
        <v>15000</v>
      </c>
      <c r="G88" s="4">
        <v>45000</v>
      </c>
      <c r="H88" t="s">
        <v>21</v>
      </c>
      <c r="I88" t="s">
        <v>14</v>
      </c>
      <c r="J88" t="s">
        <v>14</v>
      </c>
    </row>
    <row r="89" spans="1:10" x14ac:dyDescent="0.25">
      <c r="A89" t="s">
        <v>127</v>
      </c>
      <c r="B89" s="1">
        <v>44985</v>
      </c>
      <c r="C89" t="s">
        <v>66</v>
      </c>
      <c r="D89" t="s">
        <v>24</v>
      </c>
      <c r="E89" s="4">
        <v>1</v>
      </c>
      <c r="F89" s="4">
        <v>10000</v>
      </c>
      <c r="G89" s="4">
        <v>10000</v>
      </c>
      <c r="H89" t="s">
        <v>36</v>
      </c>
      <c r="I89" t="s">
        <v>18</v>
      </c>
      <c r="J89" t="s">
        <v>18</v>
      </c>
    </row>
    <row r="90" spans="1:10" x14ac:dyDescent="0.25">
      <c r="A90" t="s">
        <v>128</v>
      </c>
      <c r="B90" s="1">
        <v>45116</v>
      </c>
      <c r="C90" t="s">
        <v>29</v>
      </c>
      <c r="D90" t="s">
        <v>60</v>
      </c>
      <c r="E90" s="4">
        <v>5</v>
      </c>
      <c r="F90" s="4">
        <v>20000</v>
      </c>
      <c r="G90" s="4">
        <v>100000</v>
      </c>
      <c r="H90" t="s">
        <v>21</v>
      </c>
      <c r="I90" t="s">
        <v>27</v>
      </c>
      <c r="J90" t="s">
        <v>27</v>
      </c>
    </row>
    <row r="91" spans="1:10" x14ac:dyDescent="0.25">
      <c r="A91" t="s">
        <v>129</v>
      </c>
      <c r="B91" s="1">
        <v>45164</v>
      </c>
      <c r="C91" t="s">
        <v>32</v>
      </c>
      <c r="D91" t="s">
        <v>60</v>
      </c>
      <c r="E91" s="4">
        <v>3</v>
      </c>
      <c r="F91" s="4">
        <v>20000</v>
      </c>
      <c r="G91" s="4">
        <v>60000</v>
      </c>
      <c r="H91" t="s">
        <v>13</v>
      </c>
      <c r="I91" t="s">
        <v>27</v>
      </c>
      <c r="J91" t="s">
        <v>27</v>
      </c>
    </row>
    <row r="92" spans="1:10" x14ac:dyDescent="0.25">
      <c r="A92" t="s">
        <v>130</v>
      </c>
      <c r="B92" s="1">
        <v>45159</v>
      </c>
      <c r="C92" t="s">
        <v>11</v>
      </c>
      <c r="D92" t="s">
        <v>24</v>
      </c>
      <c r="E92" s="4">
        <v>3</v>
      </c>
      <c r="F92" s="4">
        <v>10000</v>
      </c>
      <c r="G92" s="4">
        <v>30000</v>
      </c>
      <c r="H92" t="s">
        <v>36</v>
      </c>
      <c r="I92" t="s">
        <v>18</v>
      </c>
      <c r="J92" t="s">
        <v>18</v>
      </c>
    </row>
    <row r="93" spans="1:10" x14ac:dyDescent="0.25">
      <c r="A93" t="s">
        <v>131</v>
      </c>
      <c r="B93" s="1">
        <v>45070</v>
      </c>
      <c r="C93" t="s">
        <v>16</v>
      </c>
      <c r="D93" t="s">
        <v>48</v>
      </c>
      <c r="E93" s="4">
        <v>3</v>
      </c>
      <c r="F93" s="4">
        <v>15000</v>
      </c>
      <c r="G93" s="4">
        <v>45000</v>
      </c>
      <c r="H93" t="s">
        <v>36</v>
      </c>
      <c r="I93" t="s">
        <v>25</v>
      </c>
      <c r="J93" t="s">
        <v>25</v>
      </c>
    </row>
    <row r="94" spans="1:10" x14ac:dyDescent="0.25">
      <c r="A94" t="s">
        <v>132</v>
      </c>
      <c r="B94" s="1">
        <v>45110</v>
      </c>
      <c r="C94" t="s">
        <v>23</v>
      </c>
      <c r="D94" t="s">
        <v>48</v>
      </c>
      <c r="E94" s="4">
        <v>4</v>
      </c>
      <c r="F94" s="4">
        <v>15000</v>
      </c>
      <c r="G94" s="4">
        <v>60000</v>
      </c>
      <c r="H94" t="s">
        <v>17</v>
      </c>
      <c r="I94" t="s">
        <v>25</v>
      </c>
      <c r="J94" t="s">
        <v>25</v>
      </c>
    </row>
    <row r="95" spans="1:10" x14ac:dyDescent="0.25">
      <c r="A95" t="s">
        <v>133</v>
      </c>
      <c r="B95" s="1">
        <v>45051</v>
      </c>
      <c r="C95" t="s">
        <v>16</v>
      </c>
      <c r="D95" t="s">
        <v>20</v>
      </c>
      <c r="E95" s="4">
        <v>5</v>
      </c>
      <c r="F95" s="4">
        <v>10000</v>
      </c>
      <c r="G95" s="4">
        <v>50000</v>
      </c>
      <c r="H95" t="s">
        <v>13</v>
      </c>
      <c r="I95" t="s">
        <v>18</v>
      </c>
      <c r="J95" t="s">
        <v>18</v>
      </c>
    </row>
    <row r="96" spans="1:10" x14ac:dyDescent="0.25">
      <c r="A96" t="s">
        <v>134</v>
      </c>
      <c r="B96" s="1">
        <v>45068</v>
      </c>
      <c r="C96" t="s">
        <v>29</v>
      </c>
      <c r="D96" t="s">
        <v>20</v>
      </c>
      <c r="E96" s="4">
        <v>2</v>
      </c>
      <c r="F96" s="4">
        <v>15000</v>
      </c>
      <c r="G96" s="4">
        <v>30000</v>
      </c>
      <c r="H96" t="s">
        <v>13</v>
      </c>
      <c r="I96" t="s">
        <v>27</v>
      </c>
      <c r="J96" t="s">
        <v>27</v>
      </c>
    </row>
    <row r="97" spans="1:10" x14ac:dyDescent="0.25">
      <c r="A97" t="s">
        <v>135</v>
      </c>
      <c r="B97" s="1">
        <v>44935</v>
      </c>
      <c r="C97" t="s">
        <v>23</v>
      </c>
      <c r="D97" t="s">
        <v>20</v>
      </c>
      <c r="E97" s="4">
        <v>3</v>
      </c>
      <c r="F97" s="4">
        <v>5000</v>
      </c>
      <c r="G97" s="4">
        <v>15000</v>
      </c>
      <c r="H97" t="s">
        <v>36</v>
      </c>
      <c r="I97" t="s">
        <v>18</v>
      </c>
      <c r="J97" t="s">
        <v>18</v>
      </c>
    </row>
    <row r="98" spans="1:10" x14ac:dyDescent="0.25">
      <c r="A98" t="s">
        <v>136</v>
      </c>
      <c r="B98" s="1">
        <v>45184</v>
      </c>
      <c r="C98" t="s">
        <v>29</v>
      </c>
      <c r="D98" t="s">
        <v>30</v>
      </c>
      <c r="E98" s="4">
        <v>5</v>
      </c>
      <c r="F98" s="4">
        <v>5000</v>
      </c>
      <c r="G98" s="4">
        <v>25000</v>
      </c>
      <c r="H98" t="s">
        <v>21</v>
      </c>
      <c r="I98" t="s">
        <v>25</v>
      </c>
      <c r="J98" t="s">
        <v>25</v>
      </c>
    </row>
    <row r="99" spans="1:10" x14ac:dyDescent="0.25">
      <c r="A99" t="s">
        <v>137</v>
      </c>
      <c r="B99" s="1">
        <v>45178</v>
      </c>
      <c r="C99" t="s">
        <v>11</v>
      </c>
      <c r="D99" t="s">
        <v>24</v>
      </c>
      <c r="E99" s="4">
        <v>1</v>
      </c>
      <c r="F99" s="4">
        <v>5000</v>
      </c>
      <c r="G99" s="4">
        <v>5000</v>
      </c>
      <c r="H99" t="s">
        <v>13</v>
      </c>
      <c r="I99" t="s">
        <v>27</v>
      </c>
      <c r="J99" t="s">
        <v>27</v>
      </c>
    </row>
    <row r="100" spans="1:10" x14ac:dyDescent="0.25">
      <c r="A100" t="s">
        <v>138</v>
      </c>
      <c r="B100" s="1">
        <v>45198</v>
      </c>
      <c r="C100" t="s">
        <v>23</v>
      </c>
      <c r="D100" t="s">
        <v>60</v>
      </c>
      <c r="E100" s="4">
        <v>4</v>
      </c>
      <c r="F100" s="4">
        <v>15000</v>
      </c>
      <c r="G100" s="4">
        <v>60000</v>
      </c>
      <c r="H100" t="s">
        <v>36</v>
      </c>
      <c r="I100" t="s">
        <v>27</v>
      </c>
      <c r="J100" t="s">
        <v>27</v>
      </c>
    </row>
    <row r="101" spans="1:10" x14ac:dyDescent="0.25">
      <c r="A101" t="s">
        <v>139</v>
      </c>
      <c r="B101" s="1">
        <v>45158</v>
      </c>
      <c r="C101" t="s">
        <v>23</v>
      </c>
      <c r="D101" t="s">
        <v>30</v>
      </c>
      <c r="E101" s="4">
        <v>4</v>
      </c>
      <c r="F101" s="4">
        <v>15000</v>
      </c>
      <c r="G101" s="4">
        <v>60000</v>
      </c>
      <c r="H101" t="s">
        <v>36</v>
      </c>
      <c r="I101" t="s">
        <v>25</v>
      </c>
      <c r="J101" t="s">
        <v>25</v>
      </c>
    </row>
    <row r="102" spans="1:10" x14ac:dyDescent="0.25">
      <c r="A102" t="s">
        <v>140</v>
      </c>
      <c r="B102" s="1">
        <v>45169</v>
      </c>
      <c r="C102" t="s">
        <v>23</v>
      </c>
      <c r="D102" t="s">
        <v>12</v>
      </c>
      <c r="E102" s="4">
        <v>1</v>
      </c>
      <c r="F102" s="4">
        <v>12500</v>
      </c>
      <c r="G102" s="4">
        <v>12500</v>
      </c>
      <c r="H102" t="s">
        <v>17</v>
      </c>
      <c r="I102" t="s">
        <v>25</v>
      </c>
      <c r="J102" t="s">
        <v>25</v>
      </c>
    </row>
    <row r="103" spans="1:10" x14ac:dyDescent="0.25">
      <c r="A103" t="s">
        <v>141</v>
      </c>
      <c r="B103" s="1">
        <v>45214</v>
      </c>
      <c r="C103" t="s">
        <v>32</v>
      </c>
      <c r="D103" t="s">
        <v>44</v>
      </c>
      <c r="E103" s="4">
        <v>3</v>
      </c>
      <c r="F103" s="4">
        <v>5000</v>
      </c>
      <c r="G103" s="4">
        <v>15000</v>
      </c>
      <c r="H103" t="s">
        <v>21</v>
      </c>
      <c r="I103" t="s">
        <v>25</v>
      </c>
      <c r="J103" t="s">
        <v>25</v>
      </c>
    </row>
    <row r="104" spans="1:10" x14ac:dyDescent="0.25">
      <c r="A104" t="s">
        <v>142</v>
      </c>
      <c r="B104" s="1">
        <v>45263</v>
      </c>
      <c r="C104" t="s">
        <v>66</v>
      </c>
      <c r="D104" t="s">
        <v>24</v>
      </c>
      <c r="E104" s="4">
        <v>2</v>
      </c>
      <c r="F104" s="4">
        <v>12500</v>
      </c>
      <c r="G104" s="4">
        <v>25000</v>
      </c>
      <c r="H104" t="s">
        <v>21</v>
      </c>
      <c r="I104" t="s">
        <v>18</v>
      </c>
      <c r="J104" t="s">
        <v>18</v>
      </c>
    </row>
    <row r="105" spans="1:10" x14ac:dyDescent="0.25">
      <c r="A105" t="s">
        <v>143</v>
      </c>
      <c r="B105" s="1">
        <v>45245</v>
      </c>
      <c r="C105" t="s">
        <v>29</v>
      </c>
      <c r="D105" t="s">
        <v>50</v>
      </c>
      <c r="E105" s="4">
        <v>3</v>
      </c>
      <c r="F105" s="4">
        <v>10000</v>
      </c>
      <c r="G105" s="4">
        <v>30000</v>
      </c>
      <c r="H105" t="s">
        <v>17</v>
      </c>
      <c r="I105" t="s">
        <v>18</v>
      </c>
      <c r="J105" t="s">
        <v>18</v>
      </c>
    </row>
    <row r="106" spans="1:10" x14ac:dyDescent="0.25">
      <c r="A106" t="s">
        <v>144</v>
      </c>
      <c r="B106" s="1">
        <v>45100</v>
      </c>
      <c r="C106" t="s">
        <v>11</v>
      </c>
      <c r="D106" t="s">
        <v>44</v>
      </c>
      <c r="E106" s="4">
        <v>1</v>
      </c>
      <c r="F106" s="4">
        <v>10000</v>
      </c>
      <c r="G106" s="4">
        <v>10000</v>
      </c>
      <c r="H106" t="s">
        <v>36</v>
      </c>
      <c r="I106" t="s">
        <v>27</v>
      </c>
      <c r="J106" t="s">
        <v>27</v>
      </c>
    </row>
    <row r="107" spans="1:10" x14ac:dyDescent="0.25">
      <c r="A107" t="s">
        <v>145</v>
      </c>
      <c r="B107" s="1">
        <v>45159</v>
      </c>
      <c r="C107" t="s">
        <v>75</v>
      </c>
      <c r="D107" t="s">
        <v>44</v>
      </c>
      <c r="E107" s="4">
        <v>2</v>
      </c>
      <c r="F107" s="4">
        <v>15000</v>
      </c>
      <c r="G107" s="4">
        <v>30000</v>
      </c>
      <c r="H107" t="s">
        <v>21</v>
      </c>
      <c r="I107" t="s">
        <v>18</v>
      </c>
      <c r="J107" t="s">
        <v>18</v>
      </c>
    </row>
    <row r="108" spans="1:10" x14ac:dyDescent="0.25">
      <c r="A108" t="s">
        <v>146</v>
      </c>
      <c r="B108" s="1">
        <v>45066</v>
      </c>
      <c r="C108" t="s">
        <v>35</v>
      </c>
      <c r="D108" t="s">
        <v>24</v>
      </c>
      <c r="E108" s="4">
        <v>3</v>
      </c>
      <c r="F108" s="4">
        <v>20000</v>
      </c>
      <c r="G108" s="4">
        <v>60000</v>
      </c>
      <c r="H108" t="s">
        <v>36</v>
      </c>
      <c r="I108" t="s">
        <v>25</v>
      </c>
      <c r="J108" t="s">
        <v>25</v>
      </c>
    </row>
    <row r="109" spans="1:10" x14ac:dyDescent="0.25">
      <c r="A109" t="s">
        <v>147</v>
      </c>
      <c r="B109" s="1">
        <v>45230</v>
      </c>
      <c r="C109" t="s">
        <v>68</v>
      </c>
      <c r="D109" t="s">
        <v>24</v>
      </c>
      <c r="E109" s="4">
        <v>5</v>
      </c>
      <c r="F109" s="4">
        <v>10000</v>
      </c>
      <c r="G109" s="4">
        <v>50000</v>
      </c>
      <c r="H109" t="s">
        <v>17</v>
      </c>
      <c r="I109" t="s">
        <v>14</v>
      </c>
      <c r="J109" t="s">
        <v>14</v>
      </c>
    </row>
    <row r="110" spans="1:10" x14ac:dyDescent="0.25">
      <c r="A110" t="s">
        <v>148</v>
      </c>
      <c r="B110" s="1">
        <v>45057</v>
      </c>
      <c r="C110" t="s">
        <v>11</v>
      </c>
      <c r="D110" t="s">
        <v>60</v>
      </c>
      <c r="E110" s="4">
        <v>3</v>
      </c>
      <c r="F110" s="4">
        <v>5000</v>
      </c>
      <c r="G110" s="4">
        <v>15000</v>
      </c>
      <c r="H110" t="s">
        <v>36</v>
      </c>
      <c r="I110" t="s">
        <v>25</v>
      </c>
      <c r="J110" t="s">
        <v>25</v>
      </c>
    </row>
    <row r="111" spans="1:10" x14ac:dyDescent="0.25">
      <c r="A111" t="s">
        <v>149</v>
      </c>
      <c r="B111" s="1">
        <v>45108</v>
      </c>
      <c r="C111" t="s">
        <v>32</v>
      </c>
      <c r="D111" t="s">
        <v>12</v>
      </c>
      <c r="E111" s="4">
        <v>4</v>
      </c>
      <c r="F111" s="4">
        <v>12500</v>
      </c>
      <c r="G111" s="4">
        <v>50000</v>
      </c>
      <c r="H111" t="s">
        <v>17</v>
      </c>
      <c r="I111" t="s">
        <v>25</v>
      </c>
      <c r="J111" t="s">
        <v>25</v>
      </c>
    </row>
    <row r="112" spans="1:10" x14ac:dyDescent="0.25">
      <c r="A112" t="s">
        <v>150</v>
      </c>
      <c r="B112" s="1">
        <v>45116</v>
      </c>
      <c r="C112" t="s">
        <v>11</v>
      </c>
      <c r="D112" t="s">
        <v>38</v>
      </c>
      <c r="E112" s="4">
        <v>3</v>
      </c>
      <c r="F112" s="4">
        <v>5000</v>
      </c>
      <c r="G112" s="4">
        <v>15000</v>
      </c>
      <c r="H112" t="s">
        <v>17</v>
      </c>
      <c r="I112" t="s">
        <v>62</v>
      </c>
      <c r="J112" t="s">
        <v>62</v>
      </c>
    </row>
    <row r="113" spans="1:10" x14ac:dyDescent="0.25">
      <c r="A113" t="s">
        <v>151</v>
      </c>
      <c r="B113" s="1">
        <v>44981</v>
      </c>
      <c r="C113" t="s">
        <v>35</v>
      </c>
      <c r="D113" t="s">
        <v>30</v>
      </c>
      <c r="E113" s="4">
        <v>4</v>
      </c>
      <c r="F113" s="4">
        <v>15000</v>
      </c>
      <c r="G113" s="4">
        <v>60000</v>
      </c>
      <c r="H113" t="s">
        <v>17</v>
      </c>
      <c r="I113" t="s">
        <v>25</v>
      </c>
      <c r="J113" t="s">
        <v>25</v>
      </c>
    </row>
    <row r="114" spans="1:10" x14ac:dyDescent="0.25">
      <c r="A114" t="s">
        <v>152</v>
      </c>
      <c r="B114" s="1">
        <v>45198</v>
      </c>
      <c r="C114" t="s">
        <v>16</v>
      </c>
      <c r="D114" t="s">
        <v>33</v>
      </c>
      <c r="E114" s="4">
        <v>2</v>
      </c>
      <c r="F114" s="4">
        <v>12500</v>
      </c>
      <c r="G114" s="4">
        <v>25000</v>
      </c>
      <c r="H114" t="s">
        <v>21</v>
      </c>
      <c r="I114" t="s">
        <v>14</v>
      </c>
      <c r="J114" t="s">
        <v>14</v>
      </c>
    </row>
    <row r="115" spans="1:10" x14ac:dyDescent="0.25">
      <c r="A115" t="s">
        <v>153</v>
      </c>
      <c r="B115" s="1">
        <v>44965</v>
      </c>
      <c r="C115" t="s">
        <v>29</v>
      </c>
      <c r="D115" t="s">
        <v>20</v>
      </c>
      <c r="E115" s="4">
        <v>3</v>
      </c>
      <c r="F115" s="4">
        <v>20000</v>
      </c>
      <c r="G115" s="4">
        <v>60000</v>
      </c>
      <c r="H115" t="s">
        <v>36</v>
      </c>
      <c r="I115" t="s">
        <v>18</v>
      </c>
      <c r="J115" t="s">
        <v>18</v>
      </c>
    </row>
    <row r="116" spans="1:10" x14ac:dyDescent="0.25">
      <c r="A116" t="s">
        <v>154</v>
      </c>
      <c r="B116" s="1">
        <v>44961</v>
      </c>
      <c r="C116" t="s">
        <v>32</v>
      </c>
      <c r="D116" t="s">
        <v>24</v>
      </c>
      <c r="E116" s="4">
        <v>4</v>
      </c>
      <c r="F116" s="4">
        <v>10000</v>
      </c>
      <c r="G116" s="4">
        <v>40000</v>
      </c>
      <c r="H116" t="s">
        <v>21</v>
      </c>
      <c r="I116" t="s">
        <v>18</v>
      </c>
      <c r="J116" t="s">
        <v>18</v>
      </c>
    </row>
    <row r="117" spans="1:10" x14ac:dyDescent="0.25">
      <c r="A117" t="s">
        <v>155</v>
      </c>
      <c r="B117" s="1">
        <v>45073</v>
      </c>
      <c r="C117" t="s">
        <v>75</v>
      </c>
      <c r="D117" t="s">
        <v>12</v>
      </c>
      <c r="E117" s="4">
        <v>3</v>
      </c>
      <c r="F117" s="4">
        <v>12500</v>
      </c>
      <c r="G117" s="4">
        <v>37500</v>
      </c>
      <c r="H117" t="s">
        <v>36</v>
      </c>
      <c r="I117" t="s">
        <v>25</v>
      </c>
      <c r="J117" t="s">
        <v>25</v>
      </c>
    </row>
    <row r="118" spans="1:10" x14ac:dyDescent="0.25">
      <c r="A118" t="s">
        <v>156</v>
      </c>
      <c r="B118" s="1">
        <v>45260</v>
      </c>
      <c r="C118" t="s">
        <v>55</v>
      </c>
      <c r="D118" t="s">
        <v>30</v>
      </c>
      <c r="E118" s="4">
        <v>3</v>
      </c>
      <c r="F118" s="4">
        <v>15000</v>
      </c>
      <c r="G118" s="4">
        <v>45000</v>
      </c>
      <c r="H118" t="s">
        <v>13</v>
      </c>
      <c r="I118" t="s">
        <v>27</v>
      </c>
      <c r="J118" t="s">
        <v>27</v>
      </c>
    </row>
    <row r="119" spans="1:10" x14ac:dyDescent="0.25">
      <c r="A119" t="s">
        <v>157</v>
      </c>
      <c r="B119" s="1">
        <v>45015</v>
      </c>
      <c r="C119" t="s">
        <v>42</v>
      </c>
      <c r="D119" t="s">
        <v>48</v>
      </c>
      <c r="E119" s="4">
        <v>2</v>
      </c>
      <c r="F119" s="4">
        <v>10000</v>
      </c>
      <c r="G119" s="4">
        <v>20000</v>
      </c>
      <c r="H119" t="s">
        <v>36</v>
      </c>
      <c r="I119" t="s">
        <v>18</v>
      </c>
      <c r="J119" t="s">
        <v>18</v>
      </c>
    </row>
    <row r="120" spans="1:10" x14ac:dyDescent="0.25">
      <c r="A120" t="s">
        <v>158</v>
      </c>
      <c r="B120" s="1">
        <v>45274</v>
      </c>
      <c r="C120" t="s">
        <v>66</v>
      </c>
      <c r="D120" t="s">
        <v>50</v>
      </c>
      <c r="E120" s="4">
        <v>1</v>
      </c>
      <c r="F120" s="4">
        <v>12500</v>
      </c>
      <c r="G120" s="4">
        <v>12500</v>
      </c>
      <c r="H120" t="s">
        <v>21</v>
      </c>
      <c r="I120" t="s">
        <v>27</v>
      </c>
      <c r="J120" t="s">
        <v>27</v>
      </c>
    </row>
    <row r="121" spans="1:10" x14ac:dyDescent="0.25">
      <c r="A121" t="s">
        <v>159</v>
      </c>
      <c r="B121" s="1">
        <v>45235</v>
      </c>
      <c r="C121" t="s">
        <v>35</v>
      </c>
      <c r="D121" t="s">
        <v>20</v>
      </c>
      <c r="E121" s="4">
        <v>3</v>
      </c>
      <c r="F121" s="4">
        <v>5000</v>
      </c>
      <c r="G121" s="4">
        <v>15000</v>
      </c>
      <c r="H121" t="s">
        <v>13</v>
      </c>
      <c r="I121" t="s">
        <v>62</v>
      </c>
      <c r="J121" t="s">
        <v>62</v>
      </c>
    </row>
    <row r="122" spans="1:10" x14ac:dyDescent="0.25">
      <c r="A122" t="s">
        <v>160</v>
      </c>
      <c r="B122" s="1">
        <v>45085</v>
      </c>
      <c r="C122" t="s">
        <v>23</v>
      </c>
      <c r="D122" t="s">
        <v>33</v>
      </c>
      <c r="E122" s="4">
        <v>4</v>
      </c>
      <c r="F122" s="4">
        <v>10000</v>
      </c>
      <c r="G122" s="4">
        <v>40000</v>
      </c>
      <c r="H122" t="s">
        <v>13</v>
      </c>
      <c r="I122" t="s">
        <v>18</v>
      </c>
      <c r="J122" t="s">
        <v>18</v>
      </c>
    </row>
    <row r="123" spans="1:10" x14ac:dyDescent="0.25">
      <c r="A123" t="s">
        <v>161</v>
      </c>
      <c r="B123" s="1">
        <v>45036</v>
      </c>
      <c r="C123" t="s">
        <v>23</v>
      </c>
      <c r="D123" t="s">
        <v>44</v>
      </c>
      <c r="E123" s="4">
        <v>4</v>
      </c>
      <c r="F123" s="4">
        <v>10000</v>
      </c>
      <c r="G123" s="4">
        <v>40000</v>
      </c>
      <c r="H123" t="s">
        <v>13</v>
      </c>
      <c r="I123" t="s">
        <v>14</v>
      </c>
      <c r="J123" t="s">
        <v>14</v>
      </c>
    </row>
    <row r="124" spans="1:10" x14ac:dyDescent="0.25">
      <c r="A124" t="s">
        <v>162</v>
      </c>
      <c r="B124" s="1">
        <v>45196</v>
      </c>
      <c r="C124" t="s">
        <v>68</v>
      </c>
      <c r="D124" t="s">
        <v>48</v>
      </c>
      <c r="E124" s="4">
        <v>3</v>
      </c>
      <c r="F124" s="4">
        <v>15000</v>
      </c>
      <c r="G124" s="4">
        <v>45000</v>
      </c>
      <c r="H124" t="s">
        <v>13</v>
      </c>
      <c r="I124" t="s">
        <v>18</v>
      </c>
      <c r="J124" t="s">
        <v>18</v>
      </c>
    </row>
    <row r="125" spans="1:10" x14ac:dyDescent="0.25">
      <c r="A125" t="s">
        <v>163</v>
      </c>
      <c r="B125" s="1">
        <v>45151</v>
      </c>
      <c r="C125" t="s">
        <v>75</v>
      </c>
      <c r="D125" t="s">
        <v>48</v>
      </c>
      <c r="E125" s="4">
        <v>4</v>
      </c>
      <c r="F125" s="4">
        <v>15000</v>
      </c>
      <c r="G125" s="4">
        <v>60000</v>
      </c>
      <c r="H125" t="s">
        <v>13</v>
      </c>
      <c r="I125" t="s">
        <v>25</v>
      </c>
      <c r="J125" t="s">
        <v>25</v>
      </c>
    </row>
    <row r="126" spans="1:10" x14ac:dyDescent="0.25">
      <c r="A126" t="s">
        <v>164</v>
      </c>
      <c r="B126" s="1">
        <v>45167</v>
      </c>
      <c r="C126" t="s">
        <v>35</v>
      </c>
      <c r="D126" t="s">
        <v>30</v>
      </c>
      <c r="E126" s="4">
        <v>3</v>
      </c>
      <c r="F126" s="4">
        <v>10000</v>
      </c>
      <c r="G126" s="4">
        <v>30000</v>
      </c>
      <c r="H126" t="s">
        <v>36</v>
      </c>
      <c r="I126" t="s">
        <v>25</v>
      </c>
      <c r="J126" t="s">
        <v>25</v>
      </c>
    </row>
    <row r="127" spans="1:10" x14ac:dyDescent="0.25">
      <c r="A127" t="s">
        <v>165</v>
      </c>
      <c r="B127" s="1">
        <v>45116</v>
      </c>
      <c r="C127" t="s">
        <v>42</v>
      </c>
      <c r="D127" t="s">
        <v>20</v>
      </c>
      <c r="E127" s="4">
        <v>3</v>
      </c>
      <c r="F127" s="4">
        <v>5000</v>
      </c>
      <c r="G127" s="4">
        <v>15000</v>
      </c>
      <c r="H127" t="s">
        <v>36</v>
      </c>
      <c r="I127" t="s">
        <v>62</v>
      </c>
      <c r="J127" t="s">
        <v>62</v>
      </c>
    </row>
    <row r="128" spans="1:10" x14ac:dyDescent="0.25">
      <c r="A128" t="s">
        <v>166</v>
      </c>
      <c r="B128" s="1">
        <v>45009</v>
      </c>
      <c r="C128" t="s">
        <v>16</v>
      </c>
      <c r="D128" t="s">
        <v>60</v>
      </c>
      <c r="E128" s="4">
        <v>4</v>
      </c>
      <c r="F128" s="4">
        <v>15000</v>
      </c>
      <c r="G128" s="4">
        <v>60000</v>
      </c>
      <c r="H128" t="s">
        <v>36</v>
      </c>
      <c r="I128" t="s">
        <v>27</v>
      </c>
      <c r="J128" t="s">
        <v>27</v>
      </c>
    </row>
    <row r="129" spans="1:10" x14ac:dyDescent="0.25">
      <c r="A129" t="s">
        <v>167</v>
      </c>
      <c r="B129" s="1">
        <v>45118</v>
      </c>
      <c r="C129" t="s">
        <v>66</v>
      </c>
      <c r="D129" t="s">
        <v>30</v>
      </c>
      <c r="E129" s="4">
        <v>4</v>
      </c>
      <c r="F129" s="4">
        <v>5000</v>
      </c>
      <c r="G129" s="4">
        <v>20000</v>
      </c>
      <c r="H129" t="s">
        <v>13</v>
      </c>
      <c r="I129" t="s">
        <v>27</v>
      </c>
      <c r="J129" t="s">
        <v>27</v>
      </c>
    </row>
    <row r="130" spans="1:10" x14ac:dyDescent="0.25">
      <c r="A130" t="s">
        <v>168</v>
      </c>
      <c r="B130" s="1">
        <v>45073</v>
      </c>
      <c r="C130" t="s">
        <v>75</v>
      </c>
      <c r="D130" t="s">
        <v>24</v>
      </c>
      <c r="E130" s="4">
        <v>3</v>
      </c>
      <c r="F130" s="4">
        <v>12500</v>
      </c>
      <c r="G130" s="4">
        <v>37500</v>
      </c>
      <c r="H130" t="s">
        <v>36</v>
      </c>
      <c r="I130" t="s">
        <v>25</v>
      </c>
      <c r="J130" t="s">
        <v>25</v>
      </c>
    </row>
    <row r="131" spans="1:10" x14ac:dyDescent="0.25">
      <c r="A131" t="s">
        <v>169</v>
      </c>
      <c r="B131" s="1">
        <v>45238</v>
      </c>
      <c r="C131" t="s">
        <v>23</v>
      </c>
      <c r="D131" t="s">
        <v>33</v>
      </c>
      <c r="E131" s="4">
        <v>4</v>
      </c>
      <c r="F131" s="4">
        <v>5000</v>
      </c>
      <c r="G131" s="4">
        <v>20000</v>
      </c>
      <c r="H131" t="s">
        <v>13</v>
      </c>
      <c r="I131" t="s">
        <v>62</v>
      </c>
      <c r="J131" t="s">
        <v>62</v>
      </c>
    </row>
    <row r="132" spans="1:10" x14ac:dyDescent="0.25">
      <c r="A132" t="s">
        <v>170</v>
      </c>
      <c r="B132" s="1">
        <v>45182</v>
      </c>
      <c r="C132" t="s">
        <v>35</v>
      </c>
      <c r="D132" t="s">
        <v>50</v>
      </c>
      <c r="E132" s="4">
        <v>5</v>
      </c>
      <c r="F132" s="4">
        <v>5000</v>
      </c>
      <c r="G132" s="4">
        <v>25000</v>
      </c>
      <c r="H132" t="s">
        <v>13</v>
      </c>
      <c r="I132" t="s">
        <v>14</v>
      </c>
      <c r="J132" t="s">
        <v>14</v>
      </c>
    </row>
    <row r="133" spans="1:10" x14ac:dyDescent="0.25">
      <c r="A133" t="s">
        <v>171</v>
      </c>
      <c r="B133" s="1">
        <v>44970</v>
      </c>
      <c r="C133" t="s">
        <v>55</v>
      </c>
      <c r="D133" t="s">
        <v>33</v>
      </c>
      <c r="E133" s="4">
        <v>3</v>
      </c>
      <c r="F133" s="4">
        <v>5000</v>
      </c>
      <c r="G133" s="4">
        <v>15000</v>
      </c>
      <c r="H133" t="s">
        <v>17</v>
      </c>
      <c r="I133" t="s">
        <v>25</v>
      </c>
      <c r="J133" t="s">
        <v>25</v>
      </c>
    </row>
    <row r="134" spans="1:10" x14ac:dyDescent="0.25">
      <c r="A134" t="s">
        <v>172</v>
      </c>
      <c r="B134" s="1">
        <v>44961</v>
      </c>
      <c r="C134" t="s">
        <v>66</v>
      </c>
      <c r="D134" t="s">
        <v>44</v>
      </c>
      <c r="E134" s="4">
        <v>2</v>
      </c>
      <c r="F134" s="4">
        <v>10000</v>
      </c>
      <c r="G134" s="4">
        <v>20000</v>
      </c>
      <c r="H134" t="s">
        <v>17</v>
      </c>
      <c r="I134" t="s">
        <v>18</v>
      </c>
      <c r="J134" t="s">
        <v>18</v>
      </c>
    </row>
    <row r="135" spans="1:10" x14ac:dyDescent="0.25">
      <c r="A135" t="s">
        <v>173</v>
      </c>
      <c r="B135" s="1">
        <v>45277</v>
      </c>
      <c r="C135" t="s">
        <v>23</v>
      </c>
      <c r="D135" t="s">
        <v>24</v>
      </c>
      <c r="E135" s="4">
        <v>3</v>
      </c>
      <c r="F135" s="4">
        <v>20000</v>
      </c>
      <c r="G135" s="4">
        <v>60000</v>
      </c>
      <c r="H135" t="s">
        <v>13</v>
      </c>
      <c r="I135" t="s">
        <v>27</v>
      </c>
      <c r="J135" t="s">
        <v>14</v>
      </c>
    </row>
    <row r="136" spans="1:10" x14ac:dyDescent="0.25">
      <c r="A136" t="s">
        <v>174</v>
      </c>
      <c r="B136" s="1">
        <v>44948</v>
      </c>
      <c r="C136" t="s">
        <v>32</v>
      </c>
      <c r="D136" t="s">
        <v>44</v>
      </c>
      <c r="E136" s="4">
        <v>3</v>
      </c>
      <c r="F136" s="4">
        <v>15000</v>
      </c>
      <c r="G136" s="4">
        <v>45000</v>
      </c>
      <c r="H136" t="s">
        <v>36</v>
      </c>
      <c r="I136" t="s">
        <v>62</v>
      </c>
      <c r="J136" t="s">
        <v>62</v>
      </c>
    </row>
    <row r="137" spans="1:10" x14ac:dyDescent="0.25">
      <c r="A137" t="s">
        <v>175</v>
      </c>
      <c r="B137" s="1">
        <v>45096</v>
      </c>
      <c r="C137" t="s">
        <v>55</v>
      </c>
      <c r="D137" t="s">
        <v>60</v>
      </c>
      <c r="E137" s="4">
        <v>1</v>
      </c>
      <c r="F137" s="4">
        <v>12500</v>
      </c>
      <c r="G137" s="4">
        <v>12500</v>
      </c>
      <c r="H137" t="s">
        <v>36</v>
      </c>
      <c r="I137" t="s">
        <v>25</v>
      </c>
      <c r="J137" t="s">
        <v>25</v>
      </c>
    </row>
    <row r="138" spans="1:10" x14ac:dyDescent="0.25">
      <c r="A138" t="s">
        <v>176</v>
      </c>
      <c r="B138" s="1">
        <v>45192</v>
      </c>
      <c r="C138" t="s">
        <v>75</v>
      </c>
      <c r="D138" t="s">
        <v>60</v>
      </c>
      <c r="E138" s="4">
        <v>1</v>
      </c>
      <c r="F138" s="4">
        <v>10000</v>
      </c>
      <c r="G138" s="4">
        <v>10000</v>
      </c>
      <c r="H138" t="s">
        <v>17</v>
      </c>
      <c r="I138" t="s">
        <v>25</v>
      </c>
      <c r="J138" t="s">
        <v>25</v>
      </c>
    </row>
    <row r="139" spans="1:10" x14ac:dyDescent="0.25">
      <c r="A139" t="s">
        <v>177</v>
      </c>
      <c r="B139" s="1">
        <v>45078</v>
      </c>
      <c r="C139" t="s">
        <v>55</v>
      </c>
      <c r="D139" t="s">
        <v>60</v>
      </c>
      <c r="E139" s="4">
        <v>4</v>
      </c>
      <c r="F139" s="4">
        <v>15000</v>
      </c>
      <c r="G139" s="4">
        <v>60000</v>
      </c>
      <c r="H139" t="s">
        <v>36</v>
      </c>
      <c r="I139" t="s">
        <v>14</v>
      </c>
      <c r="J139" t="s">
        <v>14</v>
      </c>
    </row>
    <row r="140" spans="1:10" x14ac:dyDescent="0.25">
      <c r="A140" t="s">
        <v>178</v>
      </c>
      <c r="B140" s="1">
        <v>44956</v>
      </c>
      <c r="C140" t="s">
        <v>29</v>
      </c>
      <c r="D140" t="s">
        <v>12</v>
      </c>
      <c r="E140" s="4">
        <v>3</v>
      </c>
      <c r="F140" s="4">
        <v>10000</v>
      </c>
      <c r="G140" s="4">
        <v>30000</v>
      </c>
      <c r="H140" t="s">
        <v>21</v>
      </c>
      <c r="I140" t="s">
        <v>27</v>
      </c>
      <c r="J140" t="s">
        <v>18</v>
      </c>
    </row>
    <row r="141" spans="1:10" x14ac:dyDescent="0.25">
      <c r="A141" t="s">
        <v>179</v>
      </c>
      <c r="B141" s="1">
        <v>45114</v>
      </c>
      <c r="C141" t="s">
        <v>66</v>
      </c>
      <c r="D141" t="s">
        <v>44</v>
      </c>
      <c r="E141" s="4">
        <v>4</v>
      </c>
      <c r="F141" s="4">
        <v>15000</v>
      </c>
      <c r="G141" s="4">
        <v>60000</v>
      </c>
      <c r="H141" t="s">
        <v>13</v>
      </c>
      <c r="I141" t="s">
        <v>25</v>
      </c>
      <c r="J141" t="s">
        <v>25</v>
      </c>
    </row>
    <row r="142" spans="1:10" x14ac:dyDescent="0.25">
      <c r="A142" t="s">
        <v>180</v>
      </c>
      <c r="B142" s="1">
        <v>45259</v>
      </c>
      <c r="C142" t="s">
        <v>42</v>
      </c>
      <c r="D142" t="s">
        <v>60</v>
      </c>
      <c r="E142" s="4">
        <v>2</v>
      </c>
      <c r="F142" s="4">
        <v>5000</v>
      </c>
      <c r="G142" s="4">
        <v>10000</v>
      </c>
      <c r="H142" t="s">
        <v>13</v>
      </c>
      <c r="I142" t="s">
        <v>25</v>
      </c>
      <c r="J142" t="s">
        <v>25</v>
      </c>
    </row>
    <row r="143" spans="1:10" x14ac:dyDescent="0.25">
      <c r="A143" t="s">
        <v>181</v>
      </c>
      <c r="B143" s="1">
        <v>45240</v>
      </c>
      <c r="C143" t="s">
        <v>23</v>
      </c>
      <c r="D143" t="s">
        <v>60</v>
      </c>
      <c r="E143" s="4">
        <v>3</v>
      </c>
      <c r="F143" s="4">
        <v>20000</v>
      </c>
      <c r="G143" s="4">
        <v>60000</v>
      </c>
      <c r="H143" t="s">
        <v>17</v>
      </c>
      <c r="I143" t="s">
        <v>14</v>
      </c>
      <c r="J143" t="s">
        <v>14</v>
      </c>
    </row>
    <row r="144" spans="1:10" x14ac:dyDescent="0.25">
      <c r="A144" t="s">
        <v>182</v>
      </c>
      <c r="B144" s="1">
        <v>45090</v>
      </c>
      <c r="C144" t="s">
        <v>11</v>
      </c>
      <c r="D144" t="s">
        <v>44</v>
      </c>
      <c r="E144" s="4">
        <v>3</v>
      </c>
      <c r="F144" s="4">
        <v>5000</v>
      </c>
      <c r="G144" s="4">
        <v>15000</v>
      </c>
      <c r="H144" t="s">
        <v>21</v>
      </c>
      <c r="I144" t="s">
        <v>62</v>
      </c>
      <c r="J144" t="s">
        <v>62</v>
      </c>
    </row>
    <row r="145" spans="1:10" x14ac:dyDescent="0.25">
      <c r="A145" t="s">
        <v>183</v>
      </c>
      <c r="B145" s="1">
        <v>44989</v>
      </c>
      <c r="C145" t="s">
        <v>42</v>
      </c>
      <c r="D145" t="s">
        <v>30</v>
      </c>
      <c r="E145" s="4">
        <v>2</v>
      </c>
      <c r="F145" s="4">
        <v>10000</v>
      </c>
      <c r="G145" s="4">
        <v>20000</v>
      </c>
      <c r="H145" t="s">
        <v>17</v>
      </c>
      <c r="I145" t="s">
        <v>62</v>
      </c>
      <c r="J145" t="s">
        <v>62</v>
      </c>
    </row>
    <row r="146" spans="1:10" x14ac:dyDescent="0.25">
      <c r="A146" t="s">
        <v>184</v>
      </c>
      <c r="B146" s="1">
        <v>44960</v>
      </c>
      <c r="C146" t="s">
        <v>68</v>
      </c>
      <c r="D146" t="s">
        <v>60</v>
      </c>
      <c r="E146" s="4">
        <v>4</v>
      </c>
      <c r="F146" s="4">
        <v>10000</v>
      </c>
      <c r="G146" s="4">
        <v>40000</v>
      </c>
      <c r="H146" t="s">
        <v>36</v>
      </c>
      <c r="I146" t="s">
        <v>18</v>
      </c>
      <c r="J146" t="s">
        <v>18</v>
      </c>
    </row>
    <row r="147" spans="1:10" x14ac:dyDescent="0.25">
      <c r="A147" t="s">
        <v>185</v>
      </c>
      <c r="B147" s="1">
        <v>45157</v>
      </c>
      <c r="C147" t="s">
        <v>29</v>
      </c>
      <c r="D147" t="s">
        <v>24</v>
      </c>
      <c r="E147" s="4">
        <v>3</v>
      </c>
      <c r="F147" s="4">
        <v>15000</v>
      </c>
      <c r="G147" s="4">
        <v>45000</v>
      </c>
      <c r="H147" t="s">
        <v>13</v>
      </c>
      <c r="I147" t="s">
        <v>18</v>
      </c>
      <c r="J147" t="s">
        <v>18</v>
      </c>
    </row>
    <row r="148" spans="1:10" x14ac:dyDescent="0.25">
      <c r="A148" t="s">
        <v>186</v>
      </c>
      <c r="B148" s="1">
        <v>44990</v>
      </c>
      <c r="C148" t="s">
        <v>16</v>
      </c>
      <c r="D148" t="s">
        <v>24</v>
      </c>
      <c r="E148" s="4">
        <v>2</v>
      </c>
      <c r="F148" s="4">
        <v>15000</v>
      </c>
      <c r="G148" s="4">
        <v>30000</v>
      </c>
      <c r="H148" t="s">
        <v>13</v>
      </c>
      <c r="I148" t="s">
        <v>62</v>
      </c>
      <c r="J148" t="s">
        <v>62</v>
      </c>
    </row>
    <row r="149" spans="1:10" x14ac:dyDescent="0.25">
      <c r="A149" t="s">
        <v>187</v>
      </c>
      <c r="B149" s="1">
        <v>45252</v>
      </c>
      <c r="C149" t="s">
        <v>42</v>
      </c>
      <c r="D149" t="s">
        <v>33</v>
      </c>
      <c r="E149" s="4">
        <v>3</v>
      </c>
      <c r="F149" s="4">
        <v>10000</v>
      </c>
      <c r="G149" s="4">
        <v>30000</v>
      </c>
      <c r="H149" t="s">
        <v>21</v>
      </c>
      <c r="I149" t="s">
        <v>18</v>
      </c>
      <c r="J149" t="s">
        <v>18</v>
      </c>
    </row>
    <row r="150" spans="1:10" x14ac:dyDescent="0.25">
      <c r="A150" t="s">
        <v>188</v>
      </c>
      <c r="B150" s="1">
        <v>45246</v>
      </c>
      <c r="C150" t="s">
        <v>23</v>
      </c>
      <c r="D150" t="s">
        <v>50</v>
      </c>
      <c r="E150" s="4">
        <v>3</v>
      </c>
      <c r="F150" s="4">
        <v>12500</v>
      </c>
      <c r="G150" s="4">
        <v>37500</v>
      </c>
      <c r="H150" t="s">
        <v>17</v>
      </c>
      <c r="I150" t="s">
        <v>27</v>
      </c>
      <c r="J150" t="s">
        <v>27</v>
      </c>
    </row>
    <row r="151" spans="1:10" x14ac:dyDescent="0.25">
      <c r="A151" t="s">
        <v>189</v>
      </c>
      <c r="B151" s="1">
        <v>45140</v>
      </c>
      <c r="C151" t="s">
        <v>55</v>
      </c>
      <c r="D151" t="s">
        <v>50</v>
      </c>
      <c r="E151" s="4">
        <v>3</v>
      </c>
      <c r="F151" s="4">
        <v>5000</v>
      </c>
      <c r="G151" s="4">
        <v>15000</v>
      </c>
      <c r="H151" t="s">
        <v>21</v>
      </c>
      <c r="I151" t="s">
        <v>62</v>
      </c>
      <c r="J151" t="s">
        <v>62</v>
      </c>
    </row>
    <row r="152" spans="1:10" x14ac:dyDescent="0.25">
      <c r="A152" t="s">
        <v>190</v>
      </c>
      <c r="B152" s="1">
        <v>45007</v>
      </c>
      <c r="C152" t="s">
        <v>75</v>
      </c>
      <c r="D152" t="s">
        <v>24</v>
      </c>
      <c r="E152" s="4">
        <v>4</v>
      </c>
      <c r="F152" s="4">
        <v>20000</v>
      </c>
      <c r="G152" s="4">
        <v>80000</v>
      </c>
      <c r="H152" t="s">
        <v>13</v>
      </c>
      <c r="I152" t="s">
        <v>62</v>
      </c>
      <c r="J152" t="s">
        <v>62</v>
      </c>
    </row>
    <row r="153" spans="1:10" x14ac:dyDescent="0.25">
      <c r="A153" t="s">
        <v>191</v>
      </c>
      <c r="B153" s="1">
        <v>45131</v>
      </c>
      <c r="C153" t="s">
        <v>16</v>
      </c>
      <c r="D153" t="s">
        <v>20</v>
      </c>
      <c r="E153" s="4">
        <v>3</v>
      </c>
      <c r="F153" s="4">
        <v>15000</v>
      </c>
      <c r="G153" s="4">
        <v>45000</v>
      </c>
      <c r="H153" t="s">
        <v>17</v>
      </c>
      <c r="I153" t="s">
        <v>62</v>
      </c>
      <c r="J153" t="s">
        <v>62</v>
      </c>
    </row>
    <row r="154" spans="1:10" x14ac:dyDescent="0.25">
      <c r="A154" t="s">
        <v>192</v>
      </c>
      <c r="B154" s="1">
        <v>45123</v>
      </c>
      <c r="C154" t="s">
        <v>66</v>
      </c>
      <c r="D154" t="s">
        <v>50</v>
      </c>
      <c r="E154" s="4">
        <v>4</v>
      </c>
      <c r="F154" s="4">
        <v>10000</v>
      </c>
      <c r="G154" s="4">
        <v>40000</v>
      </c>
      <c r="H154" t="s">
        <v>21</v>
      </c>
      <c r="I154" t="s">
        <v>18</v>
      </c>
      <c r="J154" t="s">
        <v>18</v>
      </c>
    </row>
    <row r="155" spans="1:10" x14ac:dyDescent="0.25">
      <c r="A155" t="s">
        <v>193</v>
      </c>
      <c r="B155" s="1">
        <v>45181</v>
      </c>
      <c r="C155" t="s">
        <v>16</v>
      </c>
      <c r="D155" t="s">
        <v>48</v>
      </c>
      <c r="E155" s="4">
        <v>1</v>
      </c>
      <c r="F155" s="4">
        <v>20000</v>
      </c>
      <c r="G155" s="4">
        <v>20000</v>
      </c>
      <c r="H155" t="s">
        <v>36</v>
      </c>
      <c r="I155" t="s">
        <v>14</v>
      </c>
      <c r="J155" t="s">
        <v>14</v>
      </c>
    </row>
    <row r="156" spans="1:10" x14ac:dyDescent="0.25">
      <c r="A156" t="s">
        <v>194</v>
      </c>
      <c r="B156" s="1">
        <v>45167</v>
      </c>
      <c r="C156" t="s">
        <v>35</v>
      </c>
      <c r="D156" t="s">
        <v>60</v>
      </c>
      <c r="E156" s="4">
        <v>5</v>
      </c>
      <c r="F156" s="4">
        <v>5000</v>
      </c>
      <c r="G156" s="4">
        <v>25000</v>
      </c>
      <c r="H156" t="s">
        <v>36</v>
      </c>
      <c r="I156" t="s">
        <v>14</v>
      </c>
      <c r="J156" t="s">
        <v>14</v>
      </c>
    </row>
    <row r="157" spans="1:10" x14ac:dyDescent="0.25">
      <c r="A157" t="s">
        <v>195</v>
      </c>
      <c r="B157" s="1">
        <v>45026</v>
      </c>
      <c r="C157" t="s">
        <v>55</v>
      </c>
      <c r="D157" t="s">
        <v>44</v>
      </c>
      <c r="E157" s="4">
        <v>5</v>
      </c>
      <c r="F157" s="4">
        <v>15000</v>
      </c>
      <c r="G157" s="4">
        <v>75000</v>
      </c>
      <c r="H157" t="s">
        <v>36</v>
      </c>
      <c r="I157" t="s">
        <v>18</v>
      </c>
      <c r="J157" t="s">
        <v>18</v>
      </c>
    </row>
    <row r="158" spans="1:10" x14ac:dyDescent="0.25">
      <c r="A158" t="s">
        <v>196</v>
      </c>
      <c r="B158" s="1">
        <v>44976</v>
      </c>
      <c r="C158" t="s">
        <v>16</v>
      </c>
      <c r="D158" t="s">
        <v>38</v>
      </c>
      <c r="E158" s="4">
        <v>3</v>
      </c>
      <c r="F158" s="4">
        <v>12500</v>
      </c>
      <c r="G158" s="4">
        <v>37500</v>
      </c>
      <c r="H158" t="s">
        <v>21</v>
      </c>
      <c r="I158" t="s">
        <v>27</v>
      </c>
      <c r="J158" t="s">
        <v>14</v>
      </c>
    </row>
    <row r="159" spans="1:10" x14ac:dyDescent="0.25">
      <c r="A159" t="s">
        <v>197</v>
      </c>
      <c r="B159" s="1">
        <v>45169</v>
      </c>
      <c r="C159" t="s">
        <v>75</v>
      </c>
      <c r="D159" t="s">
        <v>33</v>
      </c>
      <c r="E159" s="4">
        <v>4</v>
      </c>
      <c r="F159" s="4">
        <v>10000</v>
      </c>
      <c r="G159" s="4">
        <v>40000</v>
      </c>
      <c r="H159" t="s">
        <v>13</v>
      </c>
      <c r="I159" t="s">
        <v>62</v>
      </c>
      <c r="J159" t="s">
        <v>62</v>
      </c>
    </row>
    <row r="160" spans="1:10" x14ac:dyDescent="0.25">
      <c r="A160" t="s">
        <v>198</v>
      </c>
      <c r="B160" s="1">
        <v>45186</v>
      </c>
      <c r="C160" t="s">
        <v>32</v>
      </c>
      <c r="D160" t="s">
        <v>24</v>
      </c>
      <c r="E160" s="4">
        <v>5</v>
      </c>
      <c r="F160" s="4">
        <v>20000</v>
      </c>
      <c r="G160" s="4">
        <v>100000</v>
      </c>
      <c r="H160" t="s">
        <v>21</v>
      </c>
      <c r="I160" t="s">
        <v>25</v>
      </c>
      <c r="J160" t="s">
        <v>25</v>
      </c>
    </row>
    <row r="161" spans="1:10" x14ac:dyDescent="0.25">
      <c r="A161" t="s">
        <v>199</v>
      </c>
      <c r="B161" s="1">
        <v>45279</v>
      </c>
      <c r="C161" t="s">
        <v>75</v>
      </c>
      <c r="D161" t="s">
        <v>48</v>
      </c>
      <c r="E161" s="4">
        <v>5</v>
      </c>
      <c r="F161" s="4">
        <v>20000</v>
      </c>
      <c r="G161" s="4">
        <v>100000</v>
      </c>
      <c r="H161" t="s">
        <v>13</v>
      </c>
      <c r="I161" t="s">
        <v>27</v>
      </c>
      <c r="J161" t="s">
        <v>27</v>
      </c>
    </row>
    <row r="162" spans="1:10" x14ac:dyDescent="0.25">
      <c r="A162" t="s">
        <v>200</v>
      </c>
      <c r="B162" s="1">
        <v>45275</v>
      </c>
      <c r="C162" t="s">
        <v>32</v>
      </c>
      <c r="D162" t="s">
        <v>30</v>
      </c>
      <c r="E162" s="4">
        <v>1</v>
      </c>
      <c r="F162" s="4">
        <v>15000</v>
      </c>
      <c r="G162" s="4">
        <v>15000</v>
      </c>
      <c r="H162" t="s">
        <v>17</v>
      </c>
      <c r="I162" t="s">
        <v>14</v>
      </c>
      <c r="J162" t="s">
        <v>14</v>
      </c>
    </row>
    <row r="163" spans="1:10" x14ac:dyDescent="0.25">
      <c r="A163" t="s">
        <v>201</v>
      </c>
      <c r="B163" s="1">
        <v>45240</v>
      </c>
      <c r="C163" t="s">
        <v>16</v>
      </c>
      <c r="D163" t="s">
        <v>24</v>
      </c>
      <c r="E163" s="4">
        <v>3</v>
      </c>
      <c r="F163" s="4">
        <v>10000</v>
      </c>
      <c r="G163" s="4">
        <v>30000</v>
      </c>
      <c r="H163" t="s">
        <v>13</v>
      </c>
      <c r="I163" t="s">
        <v>18</v>
      </c>
      <c r="J163" t="s">
        <v>18</v>
      </c>
    </row>
    <row r="164" spans="1:10" x14ac:dyDescent="0.25">
      <c r="A164" t="s">
        <v>202</v>
      </c>
      <c r="B164" s="1">
        <v>45162</v>
      </c>
      <c r="C164" t="s">
        <v>55</v>
      </c>
      <c r="D164" t="s">
        <v>33</v>
      </c>
      <c r="E164" s="4">
        <v>3</v>
      </c>
      <c r="F164" s="4">
        <v>15000</v>
      </c>
      <c r="G164" s="4">
        <v>45000</v>
      </c>
      <c r="H164" t="s">
        <v>21</v>
      </c>
      <c r="I164" t="s">
        <v>18</v>
      </c>
      <c r="J164" t="s">
        <v>18</v>
      </c>
    </row>
    <row r="165" spans="1:10" x14ac:dyDescent="0.25">
      <c r="A165" t="s">
        <v>203</v>
      </c>
      <c r="B165" s="1">
        <v>45079</v>
      </c>
      <c r="C165" t="s">
        <v>55</v>
      </c>
      <c r="D165" t="s">
        <v>60</v>
      </c>
      <c r="E165" s="4">
        <v>3</v>
      </c>
      <c r="F165" s="4">
        <v>10000</v>
      </c>
      <c r="G165" s="4">
        <v>30000</v>
      </c>
      <c r="H165" t="s">
        <v>36</v>
      </c>
      <c r="I165" t="s">
        <v>62</v>
      </c>
      <c r="J165" t="s">
        <v>62</v>
      </c>
    </row>
    <row r="166" spans="1:10" x14ac:dyDescent="0.25">
      <c r="A166" t="s">
        <v>204</v>
      </c>
      <c r="B166" s="1">
        <v>45273</v>
      </c>
      <c r="C166" t="s">
        <v>32</v>
      </c>
      <c r="D166" t="s">
        <v>33</v>
      </c>
      <c r="E166" s="4">
        <v>4</v>
      </c>
      <c r="F166" s="4">
        <v>20000</v>
      </c>
      <c r="G166" s="4">
        <v>80000</v>
      </c>
      <c r="H166" t="s">
        <v>13</v>
      </c>
      <c r="I166" t="s">
        <v>62</v>
      </c>
      <c r="J166" t="s">
        <v>62</v>
      </c>
    </row>
    <row r="167" spans="1:10" x14ac:dyDescent="0.25">
      <c r="A167" t="s">
        <v>205</v>
      </c>
      <c r="B167" s="1">
        <v>45172</v>
      </c>
      <c r="C167" t="s">
        <v>35</v>
      </c>
      <c r="D167" t="s">
        <v>30</v>
      </c>
      <c r="E167" s="4">
        <v>2</v>
      </c>
      <c r="F167" s="4">
        <v>12500</v>
      </c>
      <c r="G167" s="4">
        <v>25000</v>
      </c>
      <c r="H167" t="s">
        <v>21</v>
      </c>
      <c r="I167" t="s">
        <v>18</v>
      </c>
      <c r="J167" t="s">
        <v>18</v>
      </c>
    </row>
    <row r="168" spans="1:10" x14ac:dyDescent="0.25">
      <c r="A168" t="s">
        <v>206</v>
      </c>
      <c r="B168" s="1">
        <v>45007</v>
      </c>
      <c r="C168" t="s">
        <v>66</v>
      </c>
      <c r="D168" t="s">
        <v>38</v>
      </c>
      <c r="E168" s="4">
        <v>3</v>
      </c>
      <c r="F168" s="4">
        <v>20000</v>
      </c>
      <c r="G168" s="4">
        <v>60000</v>
      </c>
      <c r="H168" t="s">
        <v>13</v>
      </c>
      <c r="I168" t="s">
        <v>62</v>
      </c>
      <c r="J168" t="s">
        <v>62</v>
      </c>
    </row>
    <row r="169" spans="1:10" x14ac:dyDescent="0.25">
      <c r="A169" t="s">
        <v>207</v>
      </c>
      <c r="B169" s="1">
        <v>45116</v>
      </c>
      <c r="C169" t="s">
        <v>55</v>
      </c>
      <c r="D169" t="s">
        <v>20</v>
      </c>
      <c r="E169" s="4">
        <v>4</v>
      </c>
      <c r="F169" s="4">
        <v>12500</v>
      </c>
      <c r="G169" s="4">
        <v>50000</v>
      </c>
      <c r="H169" t="s">
        <v>17</v>
      </c>
      <c r="I169" t="s">
        <v>25</v>
      </c>
      <c r="J169" t="s">
        <v>25</v>
      </c>
    </row>
    <row r="170" spans="1:10" x14ac:dyDescent="0.25">
      <c r="A170" t="s">
        <v>208</v>
      </c>
      <c r="B170" s="1">
        <v>45079</v>
      </c>
      <c r="C170" t="s">
        <v>29</v>
      </c>
      <c r="D170" t="s">
        <v>50</v>
      </c>
      <c r="E170" s="4">
        <v>5</v>
      </c>
      <c r="F170" s="4">
        <v>5000</v>
      </c>
      <c r="G170" s="4">
        <v>25000</v>
      </c>
      <c r="H170" t="s">
        <v>21</v>
      </c>
      <c r="I170" t="s">
        <v>25</v>
      </c>
      <c r="J170" t="s">
        <v>25</v>
      </c>
    </row>
    <row r="171" spans="1:10" x14ac:dyDescent="0.25">
      <c r="A171" t="s">
        <v>209</v>
      </c>
      <c r="B171" s="1">
        <v>45025</v>
      </c>
      <c r="C171" t="s">
        <v>11</v>
      </c>
      <c r="D171" t="s">
        <v>12</v>
      </c>
      <c r="E171" s="4">
        <v>3</v>
      </c>
      <c r="F171" s="4">
        <v>10000</v>
      </c>
      <c r="G171" s="4">
        <v>30000</v>
      </c>
      <c r="H171" t="s">
        <v>36</v>
      </c>
      <c r="I171" t="s">
        <v>62</v>
      </c>
      <c r="J171" t="s">
        <v>62</v>
      </c>
    </row>
    <row r="172" spans="1:10" x14ac:dyDescent="0.25">
      <c r="A172" t="s">
        <v>210</v>
      </c>
      <c r="B172" s="1">
        <v>45116</v>
      </c>
      <c r="C172" t="s">
        <v>29</v>
      </c>
      <c r="D172" t="s">
        <v>38</v>
      </c>
      <c r="E172" s="4">
        <v>4</v>
      </c>
      <c r="F172" s="4">
        <v>15000</v>
      </c>
      <c r="G172" s="4">
        <v>60000</v>
      </c>
      <c r="H172" t="s">
        <v>17</v>
      </c>
      <c r="I172" t="s">
        <v>25</v>
      </c>
      <c r="J172" t="s">
        <v>25</v>
      </c>
    </row>
    <row r="173" spans="1:10" x14ac:dyDescent="0.25">
      <c r="A173" t="s">
        <v>211</v>
      </c>
      <c r="B173" s="1">
        <v>45123</v>
      </c>
      <c r="C173" t="s">
        <v>75</v>
      </c>
      <c r="D173" t="s">
        <v>30</v>
      </c>
      <c r="E173" s="4">
        <v>4</v>
      </c>
      <c r="F173" s="4">
        <v>12500</v>
      </c>
      <c r="G173" s="4">
        <v>50000</v>
      </c>
      <c r="H173" t="s">
        <v>21</v>
      </c>
      <c r="I173" t="s">
        <v>62</v>
      </c>
      <c r="J173" t="s">
        <v>62</v>
      </c>
    </row>
    <row r="174" spans="1:10" x14ac:dyDescent="0.25">
      <c r="A174" t="s">
        <v>212</v>
      </c>
      <c r="B174" s="1">
        <v>45084</v>
      </c>
      <c r="C174" t="s">
        <v>29</v>
      </c>
      <c r="D174" t="s">
        <v>20</v>
      </c>
      <c r="E174" s="4">
        <v>4</v>
      </c>
      <c r="F174" s="4">
        <v>10000</v>
      </c>
      <c r="G174" s="4">
        <v>40000</v>
      </c>
      <c r="H174" t="s">
        <v>21</v>
      </c>
      <c r="I174" t="s">
        <v>27</v>
      </c>
      <c r="J174" t="s">
        <v>27</v>
      </c>
    </row>
    <row r="175" spans="1:10" x14ac:dyDescent="0.25">
      <c r="A175" t="s">
        <v>213</v>
      </c>
      <c r="B175" s="1">
        <v>45005</v>
      </c>
      <c r="C175" t="s">
        <v>55</v>
      </c>
      <c r="D175" t="s">
        <v>24</v>
      </c>
      <c r="E175" s="4">
        <v>3</v>
      </c>
      <c r="F175" s="4">
        <v>15000</v>
      </c>
      <c r="G175" s="4">
        <v>45000</v>
      </c>
      <c r="H175" t="s">
        <v>36</v>
      </c>
      <c r="I175" t="s">
        <v>18</v>
      </c>
      <c r="J175" t="s">
        <v>18</v>
      </c>
    </row>
    <row r="176" spans="1:10" x14ac:dyDescent="0.25">
      <c r="A176" t="s">
        <v>214</v>
      </c>
      <c r="B176" s="1">
        <v>45232</v>
      </c>
      <c r="C176" t="s">
        <v>75</v>
      </c>
      <c r="D176" t="s">
        <v>12</v>
      </c>
      <c r="E176" s="4">
        <v>5</v>
      </c>
      <c r="F176" s="4">
        <v>20000</v>
      </c>
      <c r="G176" s="4">
        <v>100000</v>
      </c>
      <c r="H176" t="s">
        <v>21</v>
      </c>
      <c r="I176" t="s">
        <v>27</v>
      </c>
      <c r="J176" t="s">
        <v>27</v>
      </c>
    </row>
    <row r="177" spans="1:10" x14ac:dyDescent="0.25">
      <c r="A177" t="s">
        <v>215</v>
      </c>
      <c r="B177" s="1">
        <v>45011</v>
      </c>
      <c r="C177" t="s">
        <v>55</v>
      </c>
      <c r="D177" t="s">
        <v>44</v>
      </c>
      <c r="E177" s="4">
        <v>5</v>
      </c>
      <c r="F177" s="4">
        <v>20000</v>
      </c>
      <c r="G177" s="4">
        <v>100000</v>
      </c>
      <c r="H177" t="s">
        <v>13</v>
      </c>
      <c r="I177" t="s">
        <v>18</v>
      </c>
      <c r="J177" t="s">
        <v>18</v>
      </c>
    </row>
    <row r="178" spans="1:10" x14ac:dyDescent="0.25">
      <c r="A178" t="s">
        <v>216</v>
      </c>
      <c r="B178" s="1">
        <v>45160</v>
      </c>
      <c r="C178" t="s">
        <v>68</v>
      </c>
      <c r="D178" t="s">
        <v>50</v>
      </c>
      <c r="E178" s="4">
        <v>1</v>
      </c>
      <c r="F178" s="4">
        <v>15000</v>
      </c>
      <c r="G178" s="4">
        <v>15000</v>
      </c>
      <c r="H178" t="s">
        <v>21</v>
      </c>
      <c r="I178" t="s">
        <v>27</v>
      </c>
      <c r="J178" t="s">
        <v>27</v>
      </c>
    </row>
    <row r="179" spans="1:10" x14ac:dyDescent="0.25">
      <c r="A179" t="s">
        <v>217</v>
      </c>
      <c r="B179" s="1">
        <v>44959</v>
      </c>
      <c r="C179" t="s">
        <v>68</v>
      </c>
      <c r="D179" t="s">
        <v>33</v>
      </c>
      <c r="E179" s="4">
        <v>1</v>
      </c>
      <c r="F179" s="4">
        <v>5000</v>
      </c>
      <c r="G179" s="4">
        <v>5000</v>
      </c>
      <c r="H179" t="s">
        <v>17</v>
      </c>
      <c r="I179" t="s">
        <v>62</v>
      </c>
      <c r="J179" t="s">
        <v>62</v>
      </c>
    </row>
    <row r="180" spans="1:10" x14ac:dyDescent="0.25">
      <c r="A180" t="s">
        <v>218</v>
      </c>
      <c r="B180" s="1">
        <v>45118</v>
      </c>
      <c r="C180" t="s">
        <v>29</v>
      </c>
      <c r="D180" t="s">
        <v>38</v>
      </c>
      <c r="E180" s="4">
        <v>4</v>
      </c>
      <c r="F180" s="4">
        <v>12500</v>
      </c>
      <c r="G180" s="4">
        <v>50000</v>
      </c>
      <c r="H180" t="s">
        <v>36</v>
      </c>
      <c r="I180" t="s">
        <v>27</v>
      </c>
      <c r="J180" t="s">
        <v>27</v>
      </c>
    </row>
    <row r="181" spans="1:10" x14ac:dyDescent="0.25">
      <c r="A181" t="s">
        <v>219</v>
      </c>
      <c r="B181" s="1">
        <v>45202</v>
      </c>
      <c r="C181" t="s">
        <v>32</v>
      </c>
      <c r="D181" t="s">
        <v>38</v>
      </c>
      <c r="E181" s="4">
        <v>5</v>
      </c>
      <c r="F181" s="4">
        <v>10000</v>
      </c>
      <c r="G181" s="4">
        <v>50000</v>
      </c>
      <c r="H181" t="s">
        <v>13</v>
      </c>
      <c r="I181" t="s">
        <v>27</v>
      </c>
      <c r="J181" t="s">
        <v>27</v>
      </c>
    </row>
    <row r="182" spans="1:10" x14ac:dyDescent="0.25">
      <c r="A182" t="s">
        <v>220</v>
      </c>
      <c r="B182" s="1">
        <v>45044</v>
      </c>
      <c r="C182" t="s">
        <v>23</v>
      </c>
      <c r="D182" t="s">
        <v>30</v>
      </c>
      <c r="E182" s="4">
        <v>4</v>
      </c>
      <c r="F182" s="4">
        <v>15000</v>
      </c>
      <c r="G182" s="4">
        <v>60000</v>
      </c>
      <c r="H182" t="s">
        <v>21</v>
      </c>
      <c r="I182" t="s">
        <v>14</v>
      </c>
      <c r="J182" t="s">
        <v>14</v>
      </c>
    </row>
    <row r="183" spans="1:10" x14ac:dyDescent="0.25">
      <c r="A183" t="s">
        <v>221</v>
      </c>
      <c r="B183" s="1">
        <v>45050</v>
      </c>
      <c r="C183" t="s">
        <v>75</v>
      </c>
      <c r="D183" t="s">
        <v>30</v>
      </c>
      <c r="E183" s="4">
        <v>1</v>
      </c>
      <c r="F183" s="4">
        <v>5000</v>
      </c>
      <c r="G183" s="4">
        <v>5000</v>
      </c>
      <c r="H183" t="s">
        <v>17</v>
      </c>
      <c r="I183" t="s">
        <v>25</v>
      </c>
      <c r="J183" t="s">
        <v>25</v>
      </c>
    </row>
    <row r="184" spans="1:10" x14ac:dyDescent="0.25">
      <c r="A184" t="s">
        <v>222</v>
      </c>
      <c r="B184" s="1">
        <v>45203</v>
      </c>
      <c r="C184" t="s">
        <v>75</v>
      </c>
      <c r="D184" t="s">
        <v>30</v>
      </c>
      <c r="E184" s="4">
        <v>1</v>
      </c>
      <c r="F184" s="4">
        <v>10000</v>
      </c>
      <c r="G184" s="4">
        <v>10000</v>
      </c>
      <c r="H184" t="s">
        <v>21</v>
      </c>
      <c r="I184" t="s">
        <v>14</v>
      </c>
      <c r="J184" t="s">
        <v>14</v>
      </c>
    </row>
    <row r="185" spans="1:10" x14ac:dyDescent="0.25">
      <c r="A185" t="s">
        <v>223</v>
      </c>
      <c r="B185" s="1">
        <v>45000</v>
      </c>
      <c r="C185" t="s">
        <v>42</v>
      </c>
      <c r="D185" t="s">
        <v>33</v>
      </c>
      <c r="E185" s="4">
        <v>2</v>
      </c>
      <c r="F185" s="4">
        <v>20000</v>
      </c>
      <c r="G185" s="4">
        <v>40000</v>
      </c>
      <c r="H185" t="s">
        <v>21</v>
      </c>
      <c r="I185" t="s">
        <v>27</v>
      </c>
      <c r="J185" t="s">
        <v>27</v>
      </c>
    </row>
    <row r="186" spans="1:10" x14ac:dyDescent="0.25">
      <c r="A186" t="s">
        <v>224</v>
      </c>
      <c r="B186" s="1">
        <v>45180</v>
      </c>
      <c r="C186" t="s">
        <v>66</v>
      </c>
      <c r="D186" t="s">
        <v>48</v>
      </c>
      <c r="E186" s="4">
        <v>3</v>
      </c>
      <c r="F186" s="4">
        <v>10000</v>
      </c>
      <c r="G186" s="4">
        <v>30000</v>
      </c>
      <c r="H186" t="s">
        <v>36</v>
      </c>
      <c r="I186" t="s">
        <v>18</v>
      </c>
      <c r="J186" t="s">
        <v>18</v>
      </c>
    </row>
    <row r="187" spans="1:10" x14ac:dyDescent="0.25">
      <c r="A187" t="s">
        <v>225</v>
      </c>
      <c r="B187" s="1">
        <v>45050</v>
      </c>
      <c r="C187" t="s">
        <v>32</v>
      </c>
      <c r="D187" t="s">
        <v>30</v>
      </c>
      <c r="E187" s="4">
        <v>3</v>
      </c>
      <c r="F187" s="4">
        <v>12500</v>
      </c>
      <c r="G187" s="4">
        <v>37500</v>
      </c>
      <c r="H187" t="s">
        <v>13</v>
      </c>
      <c r="I187" t="s">
        <v>25</v>
      </c>
      <c r="J187" t="s">
        <v>25</v>
      </c>
    </row>
    <row r="188" spans="1:10" x14ac:dyDescent="0.25">
      <c r="A188" t="s">
        <v>226</v>
      </c>
      <c r="B188" s="1">
        <v>45031</v>
      </c>
      <c r="C188" t="s">
        <v>42</v>
      </c>
      <c r="D188" t="s">
        <v>44</v>
      </c>
      <c r="E188" s="4">
        <v>3</v>
      </c>
      <c r="F188" s="4">
        <v>5000</v>
      </c>
      <c r="G188" s="4">
        <v>15000</v>
      </c>
      <c r="H188" t="s">
        <v>21</v>
      </c>
      <c r="I188" t="s">
        <v>27</v>
      </c>
      <c r="J188" t="s">
        <v>27</v>
      </c>
    </row>
    <row r="189" spans="1:10" x14ac:dyDescent="0.25">
      <c r="A189" t="s">
        <v>227</v>
      </c>
      <c r="B189" s="1">
        <v>44987</v>
      </c>
      <c r="C189" t="s">
        <v>16</v>
      </c>
      <c r="D189" t="s">
        <v>24</v>
      </c>
      <c r="E189" s="4">
        <v>2</v>
      </c>
      <c r="F189" s="4">
        <v>10000</v>
      </c>
      <c r="G189" s="4">
        <v>20000</v>
      </c>
      <c r="H189" t="s">
        <v>13</v>
      </c>
      <c r="I189" t="s">
        <v>25</v>
      </c>
      <c r="J189" t="s">
        <v>25</v>
      </c>
    </row>
    <row r="190" spans="1:10" x14ac:dyDescent="0.25">
      <c r="A190" t="s">
        <v>228</v>
      </c>
      <c r="B190" s="1">
        <v>45060</v>
      </c>
      <c r="C190" t="s">
        <v>66</v>
      </c>
      <c r="D190" t="s">
        <v>24</v>
      </c>
      <c r="E190" s="4">
        <v>5</v>
      </c>
      <c r="F190" s="4">
        <v>20000</v>
      </c>
      <c r="G190" s="4">
        <v>100000</v>
      </c>
      <c r="H190" t="s">
        <v>17</v>
      </c>
      <c r="I190" t="s">
        <v>25</v>
      </c>
      <c r="J190" t="s">
        <v>25</v>
      </c>
    </row>
    <row r="191" spans="1:10" x14ac:dyDescent="0.25">
      <c r="A191" t="s">
        <v>229</v>
      </c>
      <c r="B191" s="1">
        <v>45001</v>
      </c>
      <c r="C191" t="s">
        <v>11</v>
      </c>
      <c r="D191" t="s">
        <v>48</v>
      </c>
      <c r="E191" s="4">
        <v>3</v>
      </c>
      <c r="F191" s="4">
        <v>15000</v>
      </c>
      <c r="G191" s="4">
        <v>45000</v>
      </c>
      <c r="H191" t="s">
        <v>36</v>
      </c>
      <c r="I191" t="s">
        <v>62</v>
      </c>
      <c r="J191" t="s">
        <v>62</v>
      </c>
    </row>
    <row r="192" spans="1:10" x14ac:dyDescent="0.25">
      <c r="A192" t="s">
        <v>230</v>
      </c>
      <c r="B192" s="1">
        <v>45277</v>
      </c>
      <c r="C192" t="s">
        <v>11</v>
      </c>
      <c r="D192" t="s">
        <v>44</v>
      </c>
      <c r="E192" s="4">
        <v>3</v>
      </c>
      <c r="F192" s="4">
        <v>12500</v>
      </c>
      <c r="G192" s="4">
        <v>37500</v>
      </c>
      <c r="H192" t="s">
        <v>36</v>
      </c>
      <c r="I192" t="s">
        <v>25</v>
      </c>
      <c r="J192" t="s">
        <v>25</v>
      </c>
    </row>
    <row r="193" spans="1:10" x14ac:dyDescent="0.25">
      <c r="A193" t="s">
        <v>231</v>
      </c>
      <c r="B193" s="1">
        <v>45204</v>
      </c>
      <c r="C193" t="s">
        <v>68</v>
      </c>
      <c r="D193" t="s">
        <v>48</v>
      </c>
      <c r="E193" s="4">
        <v>5</v>
      </c>
      <c r="F193" s="4">
        <v>5000</v>
      </c>
      <c r="G193" s="4">
        <v>25000</v>
      </c>
      <c r="H193" t="s">
        <v>17</v>
      </c>
      <c r="I193" t="s">
        <v>27</v>
      </c>
      <c r="J193" t="s">
        <v>27</v>
      </c>
    </row>
    <row r="194" spans="1:10" x14ac:dyDescent="0.25">
      <c r="A194" t="s">
        <v>232</v>
      </c>
      <c r="B194" s="1">
        <v>45160</v>
      </c>
      <c r="C194" t="s">
        <v>32</v>
      </c>
      <c r="D194" t="s">
        <v>44</v>
      </c>
      <c r="E194" s="4">
        <v>1</v>
      </c>
      <c r="F194" s="4">
        <v>15000</v>
      </c>
      <c r="G194" s="4">
        <v>15000</v>
      </c>
      <c r="H194" t="s">
        <v>36</v>
      </c>
      <c r="I194" t="s">
        <v>27</v>
      </c>
      <c r="J194" t="s">
        <v>25</v>
      </c>
    </row>
    <row r="195" spans="1:10" x14ac:dyDescent="0.25">
      <c r="A195" t="s">
        <v>233</v>
      </c>
      <c r="B195" s="1">
        <v>45073</v>
      </c>
      <c r="C195" t="s">
        <v>23</v>
      </c>
      <c r="D195" t="s">
        <v>48</v>
      </c>
      <c r="E195" s="4">
        <v>5</v>
      </c>
      <c r="F195" s="4">
        <v>12500</v>
      </c>
      <c r="G195" s="4">
        <v>62500</v>
      </c>
      <c r="H195" t="s">
        <v>36</v>
      </c>
      <c r="I195" t="s">
        <v>14</v>
      </c>
      <c r="J195" t="s">
        <v>14</v>
      </c>
    </row>
    <row r="196" spans="1:10" x14ac:dyDescent="0.25">
      <c r="A196" t="s">
        <v>234</v>
      </c>
      <c r="B196" s="1">
        <v>45116</v>
      </c>
      <c r="C196" t="s">
        <v>75</v>
      </c>
      <c r="D196" t="s">
        <v>60</v>
      </c>
      <c r="E196" s="4">
        <v>4</v>
      </c>
      <c r="F196" s="4">
        <v>5000</v>
      </c>
      <c r="G196" s="4">
        <v>20000</v>
      </c>
      <c r="H196" t="s">
        <v>36</v>
      </c>
      <c r="I196" t="s">
        <v>25</v>
      </c>
      <c r="J196" t="s">
        <v>25</v>
      </c>
    </row>
    <row r="197" spans="1:10" x14ac:dyDescent="0.25">
      <c r="A197" t="s">
        <v>235</v>
      </c>
      <c r="B197" s="1">
        <v>45259</v>
      </c>
      <c r="C197" t="s">
        <v>55</v>
      </c>
      <c r="D197" t="s">
        <v>48</v>
      </c>
      <c r="E197" s="4">
        <v>1</v>
      </c>
      <c r="F197" s="4">
        <v>20000</v>
      </c>
      <c r="G197" s="4">
        <v>20000</v>
      </c>
      <c r="H197" t="s">
        <v>36</v>
      </c>
      <c r="I197" t="s">
        <v>18</v>
      </c>
      <c r="J197" t="s">
        <v>18</v>
      </c>
    </row>
    <row r="198" spans="1:10" x14ac:dyDescent="0.25">
      <c r="A198" t="s">
        <v>236</v>
      </c>
      <c r="B198" s="1">
        <v>45096</v>
      </c>
      <c r="C198" t="s">
        <v>75</v>
      </c>
      <c r="D198" t="s">
        <v>50</v>
      </c>
      <c r="E198" s="4">
        <v>1</v>
      </c>
      <c r="F198" s="4">
        <v>15000</v>
      </c>
      <c r="G198" s="4">
        <v>15000</v>
      </c>
      <c r="H198" t="s">
        <v>13</v>
      </c>
      <c r="I198" t="s">
        <v>14</v>
      </c>
      <c r="J198" t="s">
        <v>14</v>
      </c>
    </row>
    <row r="199" spans="1:10" x14ac:dyDescent="0.25">
      <c r="A199" t="s">
        <v>237</v>
      </c>
      <c r="B199" s="1">
        <v>45263</v>
      </c>
      <c r="C199" t="s">
        <v>75</v>
      </c>
      <c r="D199" t="s">
        <v>48</v>
      </c>
      <c r="E199" s="4">
        <v>2</v>
      </c>
      <c r="F199" s="4">
        <v>12500</v>
      </c>
      <c r="G199" s="4">
        <v>25000</v>
      </c>
      <c r="H199" t="s">
        <v>17</v>
      </c>
      <c r="I199" t="s">
        <v>14</v>
      </c>
      <c r="J199" t="s">
        <v>14</v>
      </c>
    </row>
    <row r="200" spans="1:10" x14ac:dyDescent="0.25">
      <c r="A200" t="s">
        <v>238</v>
      </c>
      <c r="B200" s="1">
        <v>45215</v>
      </c>
      <c r="C200" t="s">
        <v>11</v>
      </c>
      <c r="D200" t="s">
        <v>30</v>
      </c>
      <c r="E200" s="4">
        <v>5</v>
      </c>
      <c r="F200" s="4">
        <v>12500</v>
      </c>
      <c r="G200" s="4">
        <v>62500</v>
      </c>
      <c r="H200" t="s">
        <v>21</v>
      </c>
      <c r="I200" t="s">
        <v>25</v>
      </c>
      <c r="J200" t="s">
        <v>25</v>
      </c>
    </row>
    <row r="201" spans="1:10" x14ac:dyDescent="0.25">
      <c r="A201" t="s">
        <v>239</v>
      </c>
      <c r="B201" s="1">
        <v>44977</v>
      </c>
      <c r="C201" t="s">
        <v>75</v>
      </c>
      <c r="D201" t="s">
        <v>38</v>
      </c>
      <c r="E201" s="4">
        <v>2</v>
      </c>
      <c r="F201" s="4">
        <v>12500</v>
      </c>
      <c r="G201" s="4">
        <v>25000</v>
      </c>
      <c r="H201" t="s">
        <v>21</v>
      </c>
      <c r="I201" t="s">
        <v>18</v>
      </c>
      <c r="J201" t="s">
        <v>18</v>
      </c>
    </row>
    <row r="202" spans="1:10" x14ac:dyDescent="0.25">
      <c r="A202" t="s">
        <v>240</v>
      </c>
      <c r="B202" s="1">
        <v>45157</v>
      </c>
      <c r="C202" t="s">
        <v>11</v>
      </c>
      <c r="D202" t="s">
        <v>24</v>
      </c>
      <c r="E202" s="4">
        <v>2</v>
      </c>
      <c r="F202" s="4">
        <v>15000</v>
      </c>
      <c r="G202" s="4">
        <v>30000</v>
      </c>
      <c r="H202" t="s">
        <v>36</v>
      </c>
      <c r="I202" t="s">
        <v>25</v>
      </c>
      <c r="J202" t="s">
        <v>25</v>
      </c>
    </row>
    <row r="203" spans="1:10" hidden="1" x14ac:dyDescent="0.25">
      <c r="A203" t="s">
        <v>241</v>
      </c>
      <c r="B203" s="1">
        <v>45292</v>
      </c>
      <c r="C203" t="s">
        <v>68</v>
      </c>
      <c r="D203" t="s">
        <v>12</v>
      </c>
      <c r="E203" s="4">
        <v>1</v>
      </c>
      <c r="F203" s="4">
        <v>15000</v>
      </c>
      <c r="G203" s="4">
        <v>15000</v>
      </c>
      <c r="H203" t="s">
        <v>36</v>
      </c>
      <c r="I203" t="s">
        <v>27</v>
      </c>
      <c r="J203" t="s">
        <v>14</v>
      </c>
    </row>
    <row r="204" spans="1:10" x14ac:dyDescent="0.25">
      <c r="A204" t="s">
        <v>242</v>
      </c>
      <c r="B204" s="1">
        <v>45116</v>
      </c>
      <c r="C204" t="s">
        <v>42</v>
      </c>
      <c r="D204" t="s">
        <v>12</v>
      </c>
      <c r="E204" s="4">
        <v>2</v>
      </c>
      <c r="F204" s="4">
        <v>5000</v>
      </c>
      <c r="G204" s="4">
        <v>10000</v>
      </c>
      <c r="H204" t="s">
        <v>36</v>
      </c>
      <c r="I204" t="s">
        <v>27</v>
      </c>
      <c r="J204" t="s">
        <v>25</v>
      </c>
    </row>
    <row r="205" spans="1:10" x14ac:dyDescent="0.25">
      <c r="A205" t="s">
        <v>243</v>
      </c>
      <c r="B205" s="1">
        <v>45233</v>
      </c>
      <c r="C205" t="s">
        <v>23</v>
      </c>
      <c r="D205" t="s">
        <v>44</v>
      </c>
      <c r="E205" s="4">
        <v>4</v>
      </c>
      <c r="F205" s="4">
        <v>5000</v>
      </c>
      <c r="G205" s="4">
        <v>20000</v>
      </c>
      <c r="H205" t="s">
        <v>36</v>
      </c>
      <c r="I205" t="s">
        <v>25</v>
      </c>
      <c r="J205" t="s">
        <v>25</v>
      </c>
    </row>
    <row r="206" spans="1:10" x14ac:dyDescent="0.25">
      <c r="A206" t="s">
        <v>244</v>
      </c>
      <c r="B206" s="1">
        <v>45277</v>
      </c>
      <c r="C206" t="s">
        <v>55</v>
      </c>
      <c r="D206" t="s">
        <v>38</v>
      </c>
      <c r="E206" s="4">
        <v>2</v>
      </c>
      <c r="F206" s="4">
        <v>10000</v>
      </c>
      <c r="G206" s="4">
        <v>20000</v>
      </c>
      <c r="H206" t="s">
        <v>21</v>
      </c>
      <c r="I206" t="s">
        <v>62</v>
      </c>
      <c r="J206" t="s">
        <v>62</v>
      </c>
    </row>
    <row r="207" spans="1:10" x14ac:dyDescent="0.25">
      <c r="A207" t="s">
        <v>245</v>
      </c>
      <c r="B207" s="1">
        <v>45111</v>
      </c>
      <c r="C207" t="s">
        <v>75</v>
      </c>
      <c r="D207" t="s">
        <v>60</v>
      </c>
      <c r="E207" s="4">
        <v>2</v>
      </c>
      <c r="F207" s="4">
        <v>10000</v>
      </c>
      <c r="G207" s="4">
        <v>20000</v>
      </c>
      <c r="H207" t="s">
        <v>36</v>
      </c>
      <c r="I207" t="s">
        <v>18</v>
      </c>
      <c r="J207" t="s">
        <v>18</v>
      </c>
    </row>
    <row r="208" spans="1:10" x14ac:dyDescent="0.25">
      <c r="A208" t="s">
        <v>246</v>
      </c>
      <c r="B208" s="1">
        <v>45244</v>
      </c>
      <c r="C208" t="s">
        <v>11</v>
      </c>
      <c r="D208" t="s">
        <v>38</v>
      </c>
      <c r="E208" s="4">
        <v>3</v>
      </c>
      <c r="F208" s="4">
        <v>20000</v>
      </c>
      <c r="G208" s="4">
        <v>60000</v>
      </c>
      <c r="H208" t="s">
        <v>36</v>
      </c>
      <c r="I208" t="s">
        <v>18</v>
      </c>
      <c r="J208" t="s">
        <v>18</v>
      </c>
    </row>
    <row r="209" spans="1:10" x14ac:dyDescent="0.25">
      <c r="A209" t="s">
        <v>247</v>
      </c>
      <c r="B209" s="1">
        <v>45130</v>
      </c>
      <c r="C209" t="s">
        <v>16</v>
      </c>
      <c r="D209" t="s">
        <v>44</v>
      </c>
      <c r="E209" s="4">
        <v>3</v>
      </c>
      <c r="F209" s="4">
        <v>10000</v>
      </c>
      <c r="G209" s="4">
        <v>30000</v>
      </c>
      <c r="H209" t="s">
        <v>36</v>
      </c>
      <c r="I209" t="s">
        <v>18</v>
      </c>
      <c r="J209" t="s">
        <v>18</v>
      </c>
    </row>
    <row r="210" spans="1:10" x14ac:dyDescent="0.25">
      <c r="A210" t="s">
        <v>248</v>
      </c>
      <c r="B210" s="1">
        <v>45029</v>
      </c>
      <c r="C210" t="s">
        <v>16</v>
      </c>
      <c r="D210" t="s">
        <v>50</v>
      </c>
      <c r="E210" s="4">
        <v>5</v>
      </c>
      <c r="F210" s="4">
        <v>10000</v>
      </c>
      <c r="G210" s="4">
        <v>50000</v>
      </c>
      <c r="H210" t="s">
        <v>17</v>
      </c>
      <c r="I210" t="s">
        <v>25</v>
      </c>
      <c r="J210" t="s">
        <v>25</v>
      </c>
    </row>
    <row r="211" spans="1:10" x14ac:dyDescent="0.25">
      <c r="A211" t="s">
        <v>249</v>
      </c>
      <c r="B211" s="1">
        <v>45136</v>
      </c>
      <c r="C211" t="s">
        <v>29</v>
      </c>
      <c r="D211" t="s">
        <v>24</v>
      </c>
      <c r="E211" s="4">
        <v>2</v>
      </c>
      <c r="F211" s="4">
        <v>10000</v>
      </c>
      <c r="G211" s="4">
        <v>20000</v>
      </c>
      <c r="H211" t="s">
        <v>13</v>
      </c>
      <c r="I211" t="s">
        <v>62</v>
      </c>
      <c r="J211" t="s">
        <v>62</v>
      </c>
    </row>
    <row r="212" spans="1:10" x14ac:dyDescent="0.25">
      <c r="A212" t="s">
        <v>250</v>
      </c>
      <c r="B212" s="1">
        <v>45225</v>
      </c>
      <c r="C212" t="s">
        <v>32</v>
      </c>
      <c r="D212" t="s">
        <v>38</v>
      </c>
      <c r="E212" s="4">
        <v>5</v>
      </c>
      <c r="F212" s="4">
        <v>15000</v>
      </c>
      <c r="G212" s="4">
        <v>75000</v>
      </c>
      <c r="H212" t="s">
        <v>36</v>
      </c>
      <c r="I212" t="s">
        <v>18</v>
      </c>
      <c r="J212" t="s">
        <v>18</v>
      </c>
    </row>
    <row r="213" spans="1:10" x14ac:dyDescent="0.25">
      <c r="A213" t="s">
        <v>251</v>
      </c>
      <c r="B213" s="1">
        <v>44970</v>
      </c>
      <c r="C213" t="s">
        <v>29</v>
      </c>
      <c r="D213" t="s">
        <v>12</v>
      </c>
      <c r="E213" s="4">
        <v>2</v>
      </c>
      <c r="F213" s="4">
        <v>10000</v>
      </c>
      <c r="G213" s="4">
        <v>20000</v>
      </c>
      <c r="H213" t="s">
        <v>21</v>
      </c>
      <c r="I213" t="s">
        <v>14</v>
      </c>
      <c r="J213" t="s">
        <v>14</v>
      </c>
    </row>
    <row r="214" spans="1:10" x14ac:dyDescent="0.25">
      <c r="A214" t="s">
        <v>252</v>
      </c>
      <c r="B214" s="1">
        <v>45096</v>
      </c>
      <c r="C214" t="s">
        <v>42</v>
      </c>
      <c r="D214" t="s">
        <v>38</v>
      </c>
      <c r="E214" s="4">
        <v>1</v>
      </c>
      <c r="F214" s="4">
        <v>5000</v>
      </c>
      <c r="G214" s="4">
        <v>5000</v>
      </c>
      <c r="H214" t="s">
        <v>21</v>
      </c>
      <c r="I214" t="s">
        <v>14</v>
      </c>
      <c r="J214" t="s">
        <v>14</v>
      </c>
    </row>
    <row r="215" spans="1:10" x14ac:dyDescent="0.25">
      <c r="A215" t="s">
        <v>253</v>
      </c>
      <c r="B215" s="1">
        <v>45164</v>
      </c>
      <c r="C215" t="s">
        <v>55</v>
      </c>
      <c r="D215" t="s">
        <v>50</v>
      </c>
      <c r="E215" s="4">
        <v>3</v>
      </c>
      <c r="F215" s="4">
        <v>15000</v>
      </c>
      <c r="G215" s="4">
        <v>45000</v>
      </c>
      <c r="H215" t="s">
        <v>21</v>
      </c>
      <c r="I215" t="s">
        <v>27</v>
      </c>
      <c r="J215" t="s">
        <v>27</v>
      </c>
    </row>
    <row r="216" spans="1:10" x14ac:dyDescent="0.25">
      <c r="A216" t="s">
        <v>254</v>
      </c>
      <c r="B216" s="1">
        <v>45116</v>
      </c>
      <c r="C216" t="s">
        <v>55</v>
      </c>
      <c r="D216" t="s">
        <v>44</v>
      </c>
      <c r="E216" s="4">
        <v>3</v>
      </c>
      <c r="F216" s="4">
        <v>15000</v>
      </c>
      <c r="G216" s="4">
        <v>45000</v>
      </c>
      <c r="H216" t="s">
        <v>13</v>
      </c>
      <c r="I216" t="s">
        <v>18</v>
      </c>
      <c r="J216" t="s">
        <v>18</v>
      </c>
    </row>
    <row r="217" spans="1:10" x14ac:dyDescent="0.25">
      <c r="A217" t="s">
        <v>255</v>
      </c>
      <c r="B217" s="1">
        <v>44949</v>
      </c>
      <c r="C217" t="s">
        <v>16</v>
      </c>
      <c r="D217" t="s">
        <v>12</v>
      </c>
      <c r="E217" s="4">
        <v>1</v>
      </c>
      <c r="F217" s="4">
        <v>12500</v>
      </c>
      <c r="G217" s="4">
        <v>12500</v>
      </c>
      <c r="H217" t="s">
        <v>17</v>
      </c>
      <c r="I217" t="s">
        <v>14</v>
      </c>
      <c r="J217" t="s">
        <v>14</v>
      </c>
    </row>
    <row r="218" spans="1:10" x14ac:dyDescent="0.25">
      <c r="A218" t="s">
        <v>256</v>
      </c>
      <c r="B218" s="1">
        <v>45116</v>
      </c>
      <c r="C218" t="s">
        <v>32</v>
      </c>
      <c r="D218" t="s">
        <v>20</v>
      </c>
      <c r="E218" s="4">
        <v>2</v>
      </c>
      <c r="F218" s="4">
        <v>10000</v>
      </c>
      <c r="G218" s="4">
        <v>20000</v>
      </c>
      <c r="H218" t="s">
        <v>36</v>
      </c>
      <c r="I218" t="s">
        <v>25</v>
      </c>
      <c r="J218" t="s">
        <v>25</v>
      </c>
    </row>
    <row r="219" spans="1:10" x14ac:dyDescent="0.25">
      <c r="A219" t="s">
        <v>257</v>
      </c>
      <c r="B219" s="1">
        <v>45036</v>
      </c>
      <c r="C219" t="s">
        <v>23</v>
      </c>
      <c r="D219" t="s">
        <v>30</v>
      </c>
      <c r="E219" s="4">
        <v>3</v>
      </c>
      <c r="F219" s="4">
        <v>12500</v>
      </c>
      <c r="G219" s="4">
        <v>37500</v>
      </c>
      <c r="H219" t="s">
        <v>17</v>
      </c>
      <c r="I219" t="s">
        <v>18</v>
      </c>
      <c r="J219" t="s">
        <v>18</v>
      </c>
    </row>
    <row r="220" spans="1:10" x14ac:dyDescent="0.25">
      <c r="A220" t="s">
        <v>258</v>
      </c>
      <c r="B220" s="1">
        <v>45270</v>
      </c>
      <c r="C220" t="s">
        <v>68</v>
      </c>
      <c r="D220" t="s">
        <v>24</v>
      </c>
      <c r="E220" s="4">
        <v>5</v>
      </c>
      <c r="F220" s="4">
        <v>10000</v>
      </c>
      <c r="G220" s="4">
        <v>50000</v>
      </c>
      <c r="H220" t="s">
        <v>36</v>
      </c>
      <c r="I220" t="s">
        <v>18</v>
      </c>
      <c r="J220" t="s">
        <v>18</v>
      </c>
    </row>
    <row r="221" spans="1:10" x14ac:dyDescent="0.25">
      <c r="A221" t="s">
        <v>259</v>
      </c>
      <c r="B221" s="1">
        <v>45288</v>
      </c>
      <c r="C221" t="s">
        <v>23</v>
      </c>
      <c r="D221" t="s">
        <v>60</v>
      </c>
      <c r="E221" s="4">
        <v>5</v>
      </c>
      <c r="F221" s="4">
        <v>15000</v>
      </c>
      <c r="G221" s="4">
        <v>75000</v>
      </c>
      <c r="H221" t="s">
        <v>13</v>
      </c>
      <c r="I221" t="s">
        <v>62</v>
      </c>
      <c r="J221" t="s">
        <v>62</v>
      </c>
    </row>
    <row r="222" spans="1:10" x14ac:dyDescent="0.25">
      <c r="A222" t="s">
        <v>260</v>
      </c>
      <c r="B222" s="1">
        <v>45232</v>
      </c>
      <c r="C222" t="s">
        <v>29</v>
      </c>
      <c r="D222" t="s">
        <v>20</v>
      </c>
      <c r="E222" s="4">
        <v>5</v>
      </c>
      <c r="F222" s="4">
        <v>20000</v>
      </c>
      <c r="G222" s="4">
        <v>100000</v>
      </c>
      <c r="H222" t="s">
        <v>13</v>
      </c>
      <c r="I222" t="s">
        <v>25</v>
      </c>
      <c r="J222" t="s">
        <v>25</v>
      </c>
    </row>
    <row r="223" spans="1:10" x14ac:dyDescent="0.25">
      <c r="A223" t="s">
        <v>261</v>
      </c>
      <c r="B223" s="1">
        <v>45074</v>
      </c>
      <c r="C223" t="s">
        <v>32</v>
      </c>
      <c r="D223" t="s">
        <v>20</v>
      </c>
      <c r="E223" s="4">
        <v>2</v>
      </c>
      <c r="F223" s="4">
        <v>15000</v>
      </c>
      <c r="G223" s="4">
        <v>30000</v>
      </c>
      <c r="H223" t="s">
        <v>17</v>
      </c>
      <c r="I223" t="s">
        <v>62</v>
      </c>
      <c r="J223" t="s">
        <v>62</v>
      </c>
    </row>
    <row r="224" spans="1:10" x14ac:dyDescent="0.25">
      <c r="A224" t="s">
        <v>262</v>
      </c>
      <c r="B224" s="1">
        <v>45136</v>
      </c>
      <c r="C224" t="s">
        <v>23</v>
      </c>
      <c r="D224" t="s">
        <v>24</v>
      </c>
      <c r="E224" s="4">
        <v>4</v>
      </c>
      <c r="F224" s="4">
        <v>10000</v>
      </c>
      <c r="G224" s="4">
        <v>40000</v>
      </c>
      <c r="H224" t="s">
        <v>36</v>
      </c>
      <c r="I224" t="s">
        <v>14</v>
      </c>
      <c r="J224" t="s">
        <v>14</v>
      </c>
    </row>
    <row r="225" spans="1:10" x14ac:dyDescent="0.25">
      <c r="A225" t="s">
        <v>263</v>
      </c>
      <c r="B225" s="1">
        <v>45074</v>
      </c>
      <c r="C225" t="s">
        <v>42</v>
      </c>
      <c r="D225" t="s">
        <v>20</v>
      </c>
      <c r="E225" s="4">
        <v>4</v>
      </c>
      <c r="F225" s="4">
        <v>15000</v>
      </c>
      <c r="G225" s="4">
        <v>60000</v>
      </c>
      <c r="H225" t="s">
        <v>36</v>
      </c>
      <c r="I225" t="s">
        <v>18</v>
      </c>
      <c r="J225" t="s">
        <v>18</v>
      </c>
    </row>
    <row r="226" spans="1:10" x14ac:dyDescent="0.25">
      <c r="A226" t="s">
        <v>264</v>
      </c>
      <c r="B226" s="1">
        <v>44948</v>
      </c>
      <c r="C226" t="s">
        <v>35</v>
      </c>
      <c r="D226" t="s">
        <v>24</v>
      </c>
      <c r="E226" s="4">
        <v>5</v>
      </c>
      <c r="F226" s="4">
        <v>10000</v>
      </c>
      <c r="G226" s="4">
        <v>50000</v>
      </c>
      <c r="H226" t="s">
        <v>17</v>
      </c>
      <c r="I226" t="s">
        <v>14</v>
      </c>
      <c r="J226" t="s">
        <v>14</v>
      </c>
    </row>
    <row r="227" spans="1:10" x14ac:dyDescent="0.25">
      <c r="A227" t="s">
        <v>265</v>
      </c>
      <c r="B227" s="1">
        <v>44987</v>
      </c>
      <c r="C227" t="s">
        <v>29</v>
      </c>
      <c r="D227" t="s">
        <v>30</v>
      </c>
      <c r="E227" s="4">
        <v>2</v>
      </c>
      <c r="F227" s="4">
        <v>12500</v>
      </c>
      <c r="G227" s="4">
        <v>25000</v>
      </c>
      <c r="H227" t="s">
        <v>21</v>
      </c>
      <c r="I227" t="s">
        <v>18</v>
      </c>
      <c r="J227" t="s">
        <v>18</v>
      </c>
    </row>
    <row r="228" spans="1:10" x14ac:dyDescent="0.25">
      <c r="A228" t="s">
        <v>266</v>
      </c>
      <c r="B228" s="1">
        <v>45218</v>
      </c>
      <c r="C228" t="s">
        <v>35</v>
      </c>
      <c r="D228" t="s">
        <v>44</v>
      </c>
      <c r="E228" s="4">
        <v>5</v>
      </c>
      <c r="F228" s="4">
        <v>15000</v>
      </c>
      <c r="G228" s="4">
        <v>75000</v>
      </c>
      <c r="H228" t="s">
        <v>13</v>
      </c>
      <c r="I228" t="s">
        <v>62</v>
      </c>
      <c r="J228" t="s">
        <v>62</v>
      </c>
    </row>
    <row r="229" spans="1:10" x14ac:dyDescent="0.25">
      <c r="A229" t="s">
        <v>267</v>
      </c>
      <c r="B229" s="1">
        <v>44975</v>
      </c>
      <c r="C229" t="s">
        <v>16</v>
      </c>
      <c r="D229" t="s">
        <v>20</v>
      </c>
      <c r="E229" s="4">
        <v>4</v>
      </c>
      <c r="F229" s="4">
        <v>5000</v>
      </c>
      <c r="G229" s="4">
        <v>20000</v>
      </c>
      <c r="H229" t="s">
        <v>13</v>
      </c>
      <c r="I229" t="s">
        <v>14</v>
      </c>
      <c r="J229" t="s">
        <v>14</v>
      </c>
    </row>
    <row r="230" spans="1:10" x14ac:dyDescent="0.25">
      <c r="A230" t="s">
        <v>268</v>
      </c>
      <c r="B230" s="1">
        <v>44999</v>
      </c>
      <c r="C230" t="s">
        <v>55</v>
      </c>
      <c r="D230" t="s">
        <v>50</v>
      </c>
      <c r="E230" s="4">
        <v>3</v>
      </c>
      <c r="F230" s="4">
        <v>15000</v>
      </c>
      <c r="G230" s="4">
        <v>45000</v>
      </c>
      <c r="H230" t="s">
        <v>36</v>
      </c>
      <c r="I230" t="s">
        <v>25</v>
      </c>
      <c r="J230" t="s">
        <v>25</v>
      </c>
    </row>
    <row r="231" spans="1:10" x14ac:dyDescent="0.25">
      <c r="A231" t="s">
        <v>269</v>
      </c>
      <c r="B231" s="1">
        <v>45282</v>
      </c>
      <c r="C231" t="s">
        <v>55</v>
      </c>
      <c r="D231" t="s">
        <v>44</v>
      </c>
      <c r="E231" s="4">
        <v>4</v>
      </c>
      <c r="F231" s="4">
        <v>20000</v>
      </c>
      <c r="G231" s="4">
        <v>80000</v>
      </c>
      <c r="H231" t="s">
        <v>17</v>
      </c>
      <c r="I231" t="s">
        <v>27</v>
      </c>
      <c r="J231" t="s">
        <v>27</v>
      </c>
    </row>
    <row r="232" spans="1:10" x14ac:dyDescent="0.25">
      <c r="A232" t="s">
        <v>270</v>
      </c>
      <c r="B232" s="1">
        <v>45146</v>
      </c>
      <c r="C232" t="s">
        <v>42</v>
      </c>
      <c r="D232" t="s">
        <v>30</v>
      </c>
      <c r="E232" s="4">
        <v>4</v>
      </c>
      <c r="F232" s="4">
        <v>15000</v>
      </c>
      <c r="G232" s="4">
        <v>60000</v>
      </c>
      <c r="H232" t="s">
        <v>21</v>
      </c>
      <c r="I232" t="s">
        <v>62</v>
      </c>
      <c r="J232" t="s">
        <v>62</v>
      </c>
    </row>
    <row r="233" spans="1:10" x14ac:dyDescent="0.25">
      <c r="A233" t="s">
        <v>271</v>
      </c>
      <c r="B233" s="1">
        <v>44951</v>
      </c>
      <c r="C233" t="s">
        <v>11</v>
      </c>
      <c r="D233" t="s">
        <v>48</v>
      </c>
      <c r="E233" s="4">
        <v>1</v>
      </c>
      <c r="F233" s="4">
        <v>10000</v>
      </c>
      <c r="G233" s="4">
        <v>10000</v>
      </c>
      <c r="H233" t="s">
        <v>17</v>
      </c>
      <c r="I233" t="s">
        <v>27</v>
      </c>
      <c r="J233" t="s">
        <v>27</v>
      </c>
    </row>
    <row r="234" spans="1:10" x14ac:dyDescent="0.25">
      <c r="A234" t="s">
        <v>272</v>
      </c>
      <c r="B234" s="1">
        <v>45259</v>
      </c>
      <c r="C234" t="s">
        <v>35</v>
      </c>
      <c r="D234" t="s">
        <v>60</v>
      </c>
      <c r="E234" s="4">
        <v>2</v>
      </c>
      <c r="F234" s="4">
        <v>12500</v>
      </c>
      <c r="G234" s="4">
        <v>25000</v>
      </c>
      <c r="H234" t="s">
        <v>17</v>
      </c>
      <c r="I234" t="s">
        <v>62</v>
      </c>
      <c r="J234" t="s">
        <v>62</v>
      </c>
    </row>
    <row r="235" spans="1:10" x14ac:dyDescent="0.25">
      <c r="A235" t="s">
        <v>273</v>
      </c>
      <c r="B235" s="1">
        <v>45116</v>
      </c>
      <c r="C235" t="s">
        <v>16</v>
      </c>
      <c r="D235" t="s">
        <v>30</v>
      </c>
      <c r="E235" s="4">
        <v>4</v>
      </c>
      <c r="F235" s="4">
        <v>10000</v>
      </c>
      <c r="G235" s="4">
        <v>40000</v>
      </c>
      <c r="H235" t="s">
        <v>17</v>
      </c>
      <c r="I235" t="s">
        <v>27</v>
      </c>
      <c r="J235" t="s">
        <v>27</v>
      </c>
    </row>
    <row r="236" spans="1:10" x14ac:dyDescent="0.25">
      <c r="A236" t="s">
        <v>274</v>
      </c>
      <c r="B236" s="1">
        <v>45283</v>
      </c>
      <c r="C236" t="s">
        <v>23</v>
      </c>
      <c r="D236" t="s">
        <v>44</v>
      </c>
      <c r="E236" s="4">
        <v>1</v>
      </c>
      <c r="F236" s="4">
        <v>12500</v>
      </c>
      <c r="G236" s="4">
        <v>12500</v>
      </c>
      <c r="H236" t="s">
        <v>13</v>
      </c>
      <c r="I236" t="s">
        <v>25</v>
      </c>
      <c r="J236" t="s">
        <v>25</v>
      </c>
    </row>
    <row r="237" spans="1:10" x14ac:dyDescent="0.25">
      <c r="A237" t="s">
        <v>275</v>
      </c>
      <c r="B237" s="1">
        <v>45080</v>
      </c>
      <c r="C237" t="s">
        <v>42</v>
      </c>
      <c r="D237" t="s">
        <v>20</v>
      </c>
      <c r="E237" s="4">
        <v>4</v>
      </c>
      <c r="F237" s="4">
        <v>12500</v>
      </c>
      <c r="G237" s="4">
        <v>50000</v>
      </c>
      <c r="H237" t="s">
        <v>13</v>
      </c>
      <c r="I237" t="s">
        <v>27</v>
      </c>
      <c r="J237" t="s">
        <v>27</v>
      </c>
    </row>
    <row r="238" spans="1:10" x14ac:dyDescent="0.25">
      <c r="A238" t="s">
        <v>276</v>
      </c>
      <c r="B238" s="1">
        <v>45004</v>
      </c>
      <c r="C238" t="s">
        <v>23</v>
      </c>
      <c r="D238" t="s">
        <v>38</v>
      </c>
      <c r="E238" s="4">
        <v>5</v>
      </c>
      <c r="F238" s="4">
        <v>10000</v>
      </c>
      <c r="G238" s="4">
        <v>50000</v>
      </c>
      <c r="H238" t="s">
        <v>13</v>
      </c>
      <c r="I238" t="s">
        <v>27</v>
      </c>
      <c r="J238" t="s">
        <v>27</v>
      </c>
    </row>
    <row r="239" spans="1:10" x14ac:dyDescent="0.25">
      <c r="A239" t="s">
        <v>277</v>
      </c>
      <c r="B239" s="1">
        <v>44998</v>
      </c>
      <c r="C239" t="s">
        <v>75</v>
      </c>
      <c r="D239" t="s">
        <v>30</v>
      </c>
      <c r="E239" s="4">
        <v>3</v>
      </c>
      <c r="F239" s="4">
        <v>10000</v>
      </c>
      <c r="G239" s="4">
        <v>30000</v>
      </c>
      <c r="H239" t="s">
        <v>13</v>
      </c>
      <c r="I239" t="s">
        <v>18</v>
      </c>
      <c r="J239" t="s">
        <v>18</v>
      </c>
    </row>
    <row r="240" spans="1:10" x14ac:dyDescent="0.25">
      <c r="A240" t="s">
        <v>278</v>
      </c>
      <c r="B240" s="1">
        <v>45264</v>
      </c>
      <c r="C240" t="s">
        <v>35</v>
      </c>
      <c r="D240" t="s">
        <v>60</v>
      </c>
      <c r="E240" s="4">
        <v>2</v>
      </c>
      <c r="F240" s="4">
        <v>15000</v>
      </c>
      <c r="G240" s="4">
        <v>30000</v>
      </c>
      <c r="H240" t="s">
        <v>13</v>
      </c>
      <c r="I240" t="s">
        <v>25</v>
      </c>
      <c r="J240" t="s">
        <v>25</v>
      </c>
    </row>
    <row r="241" spans="1:10" x14ac:dyDescent="0.25">
      <c r="A241" t="s">
        <v>279</v>
      </c>
      <c r="B241" s="1">
        <v>45050</v>
      </c>
      <c r="C241" t="s">
        <v>66</v>
      </c>
      <c r="D241" t="s">
        <v>24</v>
      </c>
      <c r="E241" s="4">
        <v>3</v>
      </c>
      <c r="F241" s="4">
        <v>15000</v>
      </c>
      <c r="G241" s="4">
        <v>45000</v>
      </c>
      <c r="H241" t="s">
        <v>17</v>
      </c>
      <c r="I241" t="s">
        <v>62</v>
      </c>
      <c r="J241" t="s">
        <v>62</v>
      </c>
    </row>
    <row r="242" spans="1:10" x14ac:dyDescent="0.25">
      <c r="A242" t="s">
        <v>280</v>
      </c>
      <c r="B242" s="1">
        <v>45168</v>
      </c>
      <c r="C242" t="s">
        <v>16</v>
      </c>
      <c r="D242" t="s">
        <v>12</v>
      </c>
      <c r="E242" s="4">
        <v>1</v>
      </c>
      <c r="F242" s="4">
        <v>15000</v>
      </c>
      <c r="G242" s="4">
        <v>15000</v>
      </c>
      <c r="H242" t="s">
        <v>17</v>
      </c>
      <c r="I242" t="s">
        <v>62</v>
      </c>
      <c r="J242" t="s">
        <v>62</v>
      </c>
    </row>
    <row r="243" spans="1:10" x14ac:dyDescent="0.25">
      <c r="A243" t="s">
        <v>281</v>
      </c>
      <c r="B243" s="1">
        <v>45183</v>
      </c>
      <c r="C243" t="s">
        <v>42</v>
      </c>
      <c r="D243" t="s">
        <v>38</v>
      </c>
      <c r="E243" s="4">
        <v>4</v>
      </c>
      <c r="F243" s="4">
        <v>10000</v>
      </c>
      <c r="G243" s="4">
        <v>40000</v>
      </c>
      <c r="H243" t="s">
        <v>17</v>
      </c>
      <c r="I243" t="s">
        <v>18</v>
      </c>
      <c r="J243" t="s">
        <v>18</v>
      </c>
    </row>
    <row r="244" spans="1:10" x14ac:dyDescent="0.25">
      <c r="A244" t="s">
        <v>282</v>
      </c>
      <c r="B244" s="1">
        <v>45006</v>
      </c>
      <c r="C244" t="s">
        <v>68</v>
      </c>
      <c r="D244" t="s">
        <v>33</v>
      </c>
      <c r="E244" s="4">
        <v>3</v>
      </c>
      <c r="F244" s="4">
        <v>20000</v>
      </c>
      <c r="G244" s="4">
        <v>60000</v>
      </c>
      <c r="H244" t="s">
        <v>17</v>
      </c>
      <c r="I244" t="s">
        <v>62</v>
      </c>
      <c r="J244" t="s">
        <v>62</v>
      </c>
    </row>
    <row r="245" spans="1:10" x14ac:dyDescent="0.25">
      <c r="A245" t="s">
        <v>283</v>
      </c>
      <c r="B245" s="1">
        <v>45159</v>
      </c>
      <c r="C245" t="s">
        <v>32</v>
      </c>
      <c r="D245" t="s">
        <v>50</v>
      </c>
      <c r="E245" s="4">
        <v>5</v>
      </c>
      <c r="F245" s="4">
        <v>5000</v>
      </c>
      <c r="G245" s="4">
        <v>25000</v>
      </c>
      <c r="H245" t="s">
        <v>13</v>
      </c>
      <c r="I245" t="s">
        <v>27</v>
      </c>
      <c r="J245" t="s">
        <v>27</v>
      </c>
    </row>
    <row r="246" spans="1:10" x14ac:dyDescent="0.25">
      <c r="A246" t="s">
        <v>284</v>
      </c>
      <c r="B246" s="1">
        <v>45059</v>
      </c>
      <c r="C246" t="s">
        <v>32</v>
      </c>
      <c r="D246" t="s">
        <v>20</v>
      </c>
      <c r="E246" s="4">
        <v>3</v>
      </c>
      <c r="F246" s="4">
        <v>10000</v>
      </c>
      <c r="G246" s="4">
        <v>30000</v>
      </c>
      <c r="H246" t="s">
        <v>21</v>
      </c>
      <c r="I246" t="s">
        <v>27</v>
      </c>
      <c r="J246" t="s">
        <v>27</v>
      </c>
    </row>
    <row r="247" spans="1:10" x14ac:dyDescent="0.25">
      <c r="A247" t="s">
        <v>285</v>
      </c>
      <c r="B247" s="1">
        <v>45248</v>
      </c>
      <c r="C247" t="s">
        <v>55</v>
      </c>
      <c r="D247" t="s">
        <v>12</v>
      </c>
      <c r="E247" s="4">
        <v>4</v>
      </c>
      <c r="F247" s="4">
        <v>20000</v>
      </c>
      <c r="G247" s="4">
        <v>80000</v>
      </c>
      <c r="H247" t="s">
        <v>21</v>
      </c>
      <c r="I247" t="s">
        <v>27</v>
      </c>
      <c r="J247" t="s">
        <v>27</v>
      </c>
    </row>
    <row r="248" spans="1:10" x14ac:dyDescent="0.25">
      <c r="A248" t="s">
        <v>286</v>
      </c>
      <c r="B248" s="1">
        <v>45272</v>
      </c>
      <c r="C248" t="s">
        <v>32</v>
      </c>
      <c r="D248" t="s">
        <v>12</v>
      </c>
      <c r="E248" s="4">
        <v>2</v>
      </c>
      <c r="F248" s="4">
        <v>10000</v>
      </c>
      <c r="G248" s="4">
        <v>20000</v>
      </c>
      <c r="H248" t="s">
        <v>17</v>
      </c>
      <c r="I248" t="s">
        <v>27</v>
      </c>
      <c r="J248" t="s">
        <v>27</v>
      </c>
    </row>
    <row r="249" spans="1:10" x14ac:dyDescent="0.25">
      <c r="A249" t="s">
        <v>287</v>
      </c>
      <c r="B249" s="1">
        <v>44945</v>
      </c>
      <c r="C249" t="s">
        <v>66</v>
      </c>
      <c r="D249" t="s">
        <v>33</v>
      </c>
      <c r="E249" s="4">
        <v>3</v>
      </c>
      <c r="F249" s="4">
        <v>10000</v>
      </c>
      <c r="G249" s="4">
        <v>30000</v>
      </c>
      <c r="H249" t="s">
        <v>36</v>
      </c>
      <c r="I249" t="s">
        <v>14</v>
      </c>
      <c r="J249" t="s">
        <v>14</v>
      </c>
    </row>
    <row r="250" spans="1:10" x14ac:dyDescent="0.25">
      <c r="A250" t="s">
        <v>288</v>
      </c>
      <c r="B250" s="1">
        <v>44988</v>
      </c>
      <c r="C250" t="s">
        <v>32</v>
      </c>
      <c r="D250" t="s">
        <v>33</v>
      </c>
      <c r="E250" s="4">
        <v>3</v>
      </c>
      <c r="F250" s="4">
        <v>5000</v>
      </c>
      <c r="G250" s="4">
        <v>15000</v>
      </c>
      <c r="H250" t="s">
        <v>13</v>
      </c>
      <c r="I250" t="s">
        <v>18</v>
      </c>
      <c r="J250" t="s">
        <v>18</v>
      </c>
    </row>
    <row r="251" spans="1:10" x14ac:dyDescent="0.25">
      <c r="A251" t="s">
        <v>289</v>
      </c>
      <c r="B251" s="1">
        <v>45094</v>
      </c>
      <c r="C251" t="s">
        <v>35</v>
      </c>
      <c r="D251" t="s">
        <v>12</v>
      </c>
      <c r="E251" s="4">
        <v>5</v>
      </c>
      <c r="F251" s="4">
        <v>20000</v>
      </c>
      <c r="G251" s="4">
        <v>100000</v>
      </c>
      <c r="H251" t="s">
        <v>21</v>
      </c>
      <c r="I251" t="s">
        <v>14</v>
      </c>
      <c r="J251" t="s">
        <v>14</v>
      </c>
    </row>
    <row r="252" spans="1:10" x14ac:dyDescent="0.25">
      <c r="A252" t="s">
        <v>290</v>
      </c>
      <c r="B252" s="1">
        <v>45116</v>
      </c>
      <c r="C252" t="s">
        <v>68</v>
      </c>
      <c r="D252" t="s">
        <v>30</v>
      </c>
      <c r="E252" s="4">
        <v>3</v>
      </c>
      <c r="F252" s="4">
        <v>15000</v>
      </c>
      <c r="G252" s="4">
        <v>45000</v>
      </c>
      <c r="H252" t="s">
        <v>13</v>
      </c>
      <c r="I252" t="s">
        <v>27</v>
      </c>
      <c r="J252" t="s">
        <v>27</v>
      </c>
    </row>
    <row r="253" spans="1:10" x14ac:dyDescent="0.25">
      <c r="A253" t="s">
        <v>291</v>
      </c>
      <c r="B253" s="1">
        <v>45098</v>
      </c>
      <c r="C253" t="s">
        <v>16</v>
      </c>
      <c r="D253" t="s">
        <v>48</v>
      </c>
      <c r="E253" s="4">
        <v>3</v>
      </c>
      <c r="F253" s="4">
        <v>20000</v>
      </c>
      <c r="G253" s="4">
        <v>60000</v>
      </c>
      <c r="H253" t="s">
        <v>21</v>
      </c>
      <c r="I253" t="s">
        <v>27</v>
      </c>
      <c r="J253" t="s">
        <v>27</v>
      </c>
    </row>
    <row r="254" spans="1:10" x14ac:dyDescent="0.25">
      <c r="A254" t="s">
        <v>292</v>
      </c>
      <c r="B254" s="1">
        <v>45291</v>
      </c>
      <c r="C254" t="s">
        <v>55</v>
      </c>
      <c r="D254" t="s">
        <v>60</v>
      </c>
      <c r="E254" s="4">
        <v>1</v>
      </c>
      <c r="F254" s="4">
        <v>5000</v>
      </c>
      <c r="G254" s="4">
        <v>5000</v>
      </c>
      <c r="H254" t="s">
        <v>36</v>
      </c>
      <c r="I254" t="s">
        <v>62</v>
      </c>
      <c r="J254" t="s">
        <v>62</v>
      </c>
    </row>
    <row r="255" spans="1:10" x14ac:dyDescent="0.25">
      <c r="A255" t="s">
        <v>293</v>
      </c>
      <c r="B255" s="1">
        <v>44965</v>
      </c>
      <c r="C255" t="s">
        <v>35</v>
      </c>
      <c r="D255" t="s">
        <v>50</v>
      </c>
      <c r="E255" s="4">
        <v>5</v>
      </c>
      <c r="F255" s="4">
        <v>5000</v>
      </c>
      <c r="G255" s="4">
        <v>25000</v>
      </c>
      <c r="H255" t="s">
        <v>13</v>
      </c>
      <c r="I255" t="s">
        <v>14</v>
      </c>
      <c r="J255" t="s">
        <v>14</v>
      </c>
    </row>
    <row r="256" spans="1:10" x14ac:dyDescent="0.25">
      <c r="A256" t="s">
        <v>294</v>
      </c>
      <c r="B256" s="1">
        <v>45089</v>
      </c>
      <c r="C256" t="s">
        <v>75</v>
      </c>
      <c r="D256" t="s">
        <v>24</v>
      </c>
      <c r="E256" s="4">
        <v>3</v>
      </c>
      <c r="F256" s="4">
        <v>10000</v>
      </c>
      <c r="G256" s="4">
        <v>30000</v>
      </c>
      <c r="H256" t="s">
        <v>13</v>
      </c>
      <c r="I256" t="s">
        <v>14</v>
      </c>
      <c r="J256" t="s">
        <v>14</v>
      </c>
    </row>
    <row r="257" spans="1:10" x14ac:dyDescent="0.25">
      <c r="A257" t="s">
        <v>295</v>
      </c>
      <c r="B257" s="1">
        <v>45116</v>
      </c>
      <c r="C257" t="s">
        <v>23</v>
      </c>
      <c r="D257" t="s">
        <v>30</v>
      </c>
      <c r="E257" s="4">
        <v>4</v>
      </c>
      <c r="F257" s="4">
        <v>15000</v>
      </c>
      <c r="G257" s="4">
        <v>60000</v>
      </c>
      <c r="H257" t="s">
        <v>21</v>
      </c>
      <c r="I257" t="s">
        <v>27</v>
      </c>
      <c r="J257" t="s">
        <v>27</v>
      </c>
    </row>
    <row r="258" spans="1:10" x14ac:dyDescent="0.25">
      <c r="A258" t="s">
        <v>296</v>
      </c>
      <c r="B258" s="1">
        <v>45094</v>
      </c>
      <c r="C258" t="s">
        <v>42</v>
      </c>
      <c r="D258" t="s">
        <v>20</v>
      </c>
      <c r="E258" s="4">
        <v>1</v>
      </c>
      <c r="F258" s="4">
        <v>10000</v>
      </c>
      <c r="G258" s="4">
        <v>10000</v>
      </c>
      <c r="H258" t="s">
        <v>21</v>
      </c>
      <c r="I258" t="s">
        <v>25</v>
      </c>
      <c r="J258" t="s">
        <v>25</v>
      </c>
    </row>
    <row r="259" spans="1:10" x14ac:dyDescent="0.25">
      <c r="A259" t="s">
        <v>297</v>
      </c>
      <c r="B259" s="1">
        <v>45158</v>
      </c>
      <c r="C259" t="s">
        <v>23</v>
      </c>
      <c r="D259" t="s">
        <v>33</v>
      </c>
      <c r="E259" s="4">
        <v>3</v>
      </c>
      <c r="F259" s="4">
        <v>15000</v>
      </c>
      <c r="G259" s="4">
        <v>45000</v>
      </c>
      <c r="H259" t="s">
        <v>17</v>
      </c>
      <c r="I259" t="s">
        <v>27</v>
      </c>
      <c r="J259" t="s">
        <v>25</v>
      </c>
    </row>
    <row r="260" spans="1:10" x14ac:dyDescent="0.25">
      <c r="A260" t="s">
        <v>298</v>
      </c>
      <c r="B260" s="1">
        <v>44993</v>
      </c>
      <c r="C260" t="s">
        <v>75</v>
      </c>
      <c r="D260" t="s">
        <v>30</v>
      </c>
      <c r="E260" s="4">
        <v>4</v>
      </c>
      <c r="F260" s="4">
        <v>15000</v>
      </c>
      <c r="G260" s="4">
        <v>60000</v>
      </c>
      <c r="H260" t="s">
        <v>17</v>
      </c>
      <c r="I260" t="s">
        <v>27</v>
      </c>
      <c r="J260" t="s">
        <v>18</v>
      </c>
    </row>
    <row r="261" spans="1:10" x14ac:dyDescent="0.25">
      <c r="A261" t="s">
        <v>299</v>
      </c>
      <c r="B261" s="1">
        <v>45154</v>
      </c>
      <c r="C261" t="s">
        <v>55</v>
      </c>
      <c r="D261" t="s">
        <v>20</v>
      </c>
      <c r="E261" s="4">
        <v>1</v>
      </c>
      <c r="F261" s="4">
        <v>12500</v>
      </c>
      <c r="G261" s="4">
        <v>12500</v>
      </c>
      <c r="H261" t="s">
        <v>17</v>
      </c>
      <c r="I261" t="s">
        <v>27</v>
      </c>
      <c r="J261" t="s">
        <v>27</v>
      </c>
    </row>
    <row r="262" spans="1:10" x14ac:dyDescent="0.25">
      <c r="A262" t="s">
        <v>300</v>
      </c>
      <c r="B262" s="1">
        <v>45122</v>
      </c>
      <c r="C262" t="s">
        <v>35</v>
      </c>
      <c r="D262" t="s">
        <v>38</v>
      </c>
      <c r="E262" s="4">
        <v>2</v>
      </c>
      <c r="F262" s="4">
        <v>15000</v>
      </c>
      <c r="G262" s="4">
        <v>30000</v>
      </c>
      <c r="H262" t="s">
        <v>13</v>
      </c>
      <c r="I262" t="s">
        <v>62</v>
      </c>
      <c r="J262" t="s">
        <v>62</v>
      </c>
    </row>
    <row r="263" spans="1:10" x14ac:dyDescent="0.25">
      <c r="A263" t="s">
        <v>301</v>
      </c>
      <c r="B263" s="1">
        <v>45182</v>
      </c>
      <c r="C263" t="s">
        <v>68</v>
      </c>
      <c r="D263" t="s">
        <v>38</v>
      </c>
      <c r="E263" s="4">
        <v>5</v>
      </c>
      <c r="F263" s="4">
        <v>20000</v>
      </c>
      <c r="G263" s="4">
        <v>100000</v>
      </c>
      <c r="H263" t="s">
        <v>17</v>
      </c>
      <c r="I263" t="s">
        <v>62</v>
      </c>
      <c r="J263" t="s">
        <v>62</v>
      </c>
    </row>
    <row r="264" spans="1:10" x14ac:dyDescent="0.25">
      <c r="A264" t="s">
        <v>302</v>
      </c>
      <c r="B264" s="1">
        <v>45205</v>
      </c>
      <c r="C264" t="s">
        <v>42</v>
      </c>
      <c r="D264" t="s">
        <v>48</v>
      </c>
      <c r="E264" s="4">
        <v>4</v>
      </c>
      <c r="F264" s="4">
        <v>12500</v>
      </c>
      <c r="G264" s="4">
        <v>50000</v>
      </c>
      <c r="H264" t="s">
        <v>21</v>
      </c>
      <c r="I264" t="s">
        <v>25</v>
      </c>
      <c r="J264" t="s">
        <v>25</v>
      </c>
    </row>
    <row r="265" spans="1:10" x14ac:dyDescent="0.25">
      <c r="A265" t="s">
        <v>303</v>
      </c>
      <c r="B265" s="1">
        <v>44940</v>
      </c>
      <c r="C265" t="s">
        <v>55</v>
      </c>
      <c r="D265" t="s">
        <v>44</v>
      </c>
      <c r="E265" s="4">
        <v>5</v>
      </c>
      <c r="F265" s="4">
        <v>10000</v>
      </c>
      <c r="G265" s="4">
        <v>50000</v>
      </c>
      <c r="H265" t="s">
        <v>21</v>
      </c>
      <c r="I265" t="s">
        <v>27</v>
      </c>
      <c r="J265" t="s">
        <v>27</v>
      </c>
    </row>
    <row r="266" spans="1:10" x14ac:dyDescent="0.25">
      <c r="A266" t="s">
        <v>304</v>
      </c>
      <c r="B266" s="1">
        <v>45263</v>
      </c>
      <c r="C266" t="s">
        <v>75</v>
      </c>
      <c r="D266" t="s">
        <v>30</v>
      </c>
      <c r="E266" s="4">
        <v>3</v>
      </c>
      <c r="F266" s="4">
        <v>15000</v>
      </c>
      <c r="G266" s="4">
        <v>45000</v>
      </c>
      <c r="H266" t="s">
        <v>17</v>
      </c>
      <c r="I266" t="s">
        <v>14</v>
      </c>
      <c r="J266" t="s">
        <v>14</v>
      </c>
    </row>
    <row r="267" spans="1:10" x14ac:dyDescent="0.25">
      <c r="A267" t="s">
        <v>305</v>
      </c>
      <c r="B267" s="1">
        <v>45017</v>
      </c>
      <c r="C267" t="s">
        <v>32</v>
      </c>
      <c r="D267" t="s">
        <v>30</v>
      </c>
      <c r="E267" s="4">
        <v>5</v>
      </c>
      <c r="F267" s="4">
        <v>15000</v>
      </c>
      <c r="G267" s="4">
        <v>75000</v>
      </c>
      <c r="H267" t="s">
        <v>21</v>
      </c>
      <c r="I267" t="s">
        <v>18</v>
      </c>
      <c r="J267" t="s">
        <v>18</v>
      </c>
    </row>
    <row r="268" spans="1:10" x14ac:dyDescent="0.25">
      <c r="A268" t="s">
        <v>306</v>
      </c>
      <c r="B268" s="1">
        <v>45030</v>
      </c>
      <c r="C268" t="s">
        <v>32</v>
      </c>
      <c r="D268" t="s">
        <v>20</v>
      </c>
      <c r="E268" s="4">
        <v>3</v>
      </c>
      <c r="F268" s="4">
        <v>10000</v>
      </c>
      <c r="G268" s="4">
        <v>30000</v>
      </c>
      <c r="H268" t="s">
        <v>21</v>
      </c>
      <c r="I268" t="s">
        <v>27</v>
      </c>
      <c r="J268" t="s">
        <v>27</v>
      </c>
    </row>
    <row r="269" spans="1:10" x14ac:dyDescent="0.25">
      <c r="A269" t="s">
        <v>307</v>
      </c>
      <c r="B269" s="1">
        <v>45113</v>
      </c>
      <c r="C269" t="s">
        <v>23</v>
      </c>
      <c r="D269" t="s">
        <v>12</v>
      </c>
      <c r="E269" s="4">
        <v>3</v>
      </c>
      <c r="F269" s="4">
        <v>10000</v>
      </c>
      <c r="G269" s="4">
        <v>30000</v>
      </c>
      <c r="H269" t="s">
        <v>36</v>
      </c>
      <c r="I269" t="s">
        <v>18</v>
      </c>
      <c r="J269" t="s">
        <v>18</v>
      </c>
    </row>
    <row r="270" spans="1:10" x14ac:dyDescent="0.25">
      <c r="A270" t="s">
        <v>308</v>
      </c>
      <c r="B270" s="1">
        <v>45254</v>
      </c>
      <c r="C270" t="s">
        <v>29</v>
      </c>
      <c r="D270" t="s">
        <v>24</v>
      </c>
      <c r="E270" s="4">
        <v>3</v>
      </c>
      <c r="F270" s="4">
        <v>15000</v>
      </c>
      <c r="G270" s="4">
        <v>45000</v>
      </c>
      <c r="H270" t="s">
        <v>21</v>
      </c>
      <c r="I270" t="s">
        <v>14</v>
      </c>
      <c r="J270" t="s">
        <v>14</v>
      </c>
    </row>
    <row r="271" spans="1:10" x14ac:dyDescent="0.25">
      <c r="A271" t="s">
        <v>309</v>
      </c>
      <c r="B271" s="1">
        <v>44927</v>
      </c>
      <c r="C271" t="s">
        <v>75</v>
      </c>
      <c r="D271" t="s">
        <v>50</v>
      </c>
      <c r="E271" s="4">
        <v>4</v>
      </c>
      <c r="F271" s="4">
        <v>12500</v>
      </c>
      <c r="G271" s="4">
        <v>50000</v>
      </c>
      <c r="H271" t="s">
        <v>17</v>
      </c>
      <c r="I271" t="s">
        <v>14</v>
      </c>
      <c r="J271" t="s">
        <v>14</v>
      </c>
    </row>
    <row r="272" spans="1:10" x14ac:dyDescent="0.25">
      <c r="A272" t="s">
        <v>310</v>
      </c>
      <c r="B272" s="1">
        <v>45181</v>
      </c>
      <c r="C272" t="s">
        <v>66</v>
      </c>
      <c r="D272" t="s">
        <v>20</v>
      </c>
      <c r="E272" s="4">
        <v>3</v>
      </c>
      <c r="F272" s="4">
        <v>10000</v>
      </c>
      <c r="G272" s="4">
        <v>30000</v>
      </c>
      <c r="H272" t="s">
        <v>13</v>
      </c>
      <c r="I272" t="s">
        <v>62</v>
      </c>
      <c r="J272" t="s">
        <v>62</v>
      </c>
    </row>
    <row r="273" spans="1:10" x14ac:dyDescent="0.25">
      <c r="A273" t="s">
        <v>311</v>
      </c>
      <c r="B273" s="1">
        <v>45098</v>
      </c>
      <c r="C273" t="s">
        <v>66</v>
      </c>
      <c r="D273" t="s">
        <v>24</v>
      </c>
      <c r="E273" s="4">
        <v>1</v>
      </c>
      <c r="F273" s="4">
        <v>15000</v>
      </c>
      <c r="G273" s="4">
        <v>15000</v>
      </c>
      <c r="H273" t="s">
        <v>13</v>
      </c>
      <c r="I273" t="s">
        <v>27</v>
      </c>
      <c r="J273" t="s">
        <v>27</v>
      </c>
    </row>
    <row r="274" spans="1:10" x14ac:dyDescent="0.25">
      <c r="A274" t="s">
        <v>312</v>
      </c>
      <c r="B274" s="1">
        <v>45012</v>
      </c>
      <c r="C274" t="s">
        <v>55</v>
      </c>
      <c r="D274" t="s">
        <v>38</v>
      </c>
      <c r="E274" s="4">
        <v>4</v>
      </c>
      <c r="F274" s="4">
        <v>20000</v>
      </c>
      <c r="G274" s="4">
        <v>80000</v>
      </c>
      <c r="H274" t="s">
        <v>36</v>
      </c>
      <c r="I274" t="s">
        <v>27</v>
      </c>
      <c r="J274" t="s">
        <v>27</v>
      </c>
    </row>
    <row r="275" spans="1:10" x14ac:dyDescent="0.25">
      <c r="A275" t="s">
        <v>313</v>
      </c>
      <c r="B275" s="1">
        <v>44944</v>
      </c>
      <c r="C275" t="s">
        <v>66</v>
      </c>
      <c r="D275" t="s">
        <v>60</v>
      </c>
      <c r="E275" s="4">
        <v>1</v>
      </c>
      <c r="F275" s="4">
        <v>15000</v>
      </c>
      <c r="G275" s="4">
        <v>15000</v>
      </c>
      <c r="H275" t="s">
        <v>17</v>
      </c>
      <c r="I275" t="s">
        <v>27</v>
      </c>
      <c r="J275" t="s">
        <v>27</v>
      </c>
    </row>
    <row r="276" spans="1:10" x14ac:dyDescent="0.25">
      <c r="A276" t="s">
        <v>314</v>
      </c>
      <c r="B276" s="1">
        <v>44974</v>
      </c>
      <c r="C276" t="s">
        <v>29</v>
      </c>
      <c r="D276" t="s">
        <v>44</v>
      </c>
      <c r="E276" s="4">
        <v>5</v>
      </c>
      <c r="F276" s="4">
        <v>15000</v>
      </c>
      <c r="G276" s="4">
        <v>75000</v>
      </c>
      <c r="H276" t="s">
        <v>17</v>
      </c>
      <c r="I276" t="s">
        <v>25</v>
      </c>
      <c r="J276" t="s">
        <v>25</v>
      </c>
    </row>
    <row r="277" spans="1:10" x14ac:dyDescent="0.25">
      <c r="A277" t="s">
        <v>315</v>
      </c>
      <c r="B277" s="1">
        <v>45024</v>
      </c>
      <c r="C277" t="s">
        <v>35</v>
      </c>
      <c r="D277" t="s">
        <v>38</v>
      </c>
      <c r="E277" s="4">
        <v>3</v>
      </c>
      <c r="F277" s="4">
        <v>15000</v>
      </c>
      <c r="G277" s="4">
        <v>45000</v>
      </c>
      <c r="H277" t="s">
        <v>21</v>
      </c>
      <c r="I277" t="s">
        <v>62</v>
      </c>
      <c r="J277" t="s">
        <v>62</v>
      </c>
    </row>
    <row r="278" spans="1:10" x14ac:dyDescent="0.25">
      <c r="A278" t="s">
        <v>316</v>
      </c>
      <c r="B278" s="1">
        <v>45077</v>
      </c>
      <c r="C278" t="s">
        <v>11</v>
      </c>
      <c r="D278" t="s">
        <v>50</v>
      </c>
      <c r="E278" s="4">
        <v>4</v>
      </c>
      <c r="F278" s="4">
        <v>10000</v>
      </c>
      <c r="G278" s="4">
        <v>40000</v>
      </c>
      <c r="H278" t="s">
        <v>17</v>
      </c>
      <c r="I278" t="s">
        <v>14</v>
      </c>
      <c r="J278" t="s">
        <v>14</v>
      </c>
    </row>
    <row r="279" spans="1:10" x14ac:dyDescent="0.25">
      <c r="A279" t="s">
        <v>317</v>
      </c>
      <c r="B279" s="1">
        <v>45168</v>
      </c>
      <c r="C279" t="s">
        <v>66</v>
      </c>
      <c r="D279" t="s">
        <v>24</v>
      </c>
      <c r="E279" s="4">
        <v>3</v>
      </c>
      <c r="F279" s="4">
        <v>15000</v>
      </c>
      <c r="G279" s="4">
        <v>45000</v>
      </c>
      <c r="H279" t="s">
        <v>36</v>
      </c>
      <c r="I279" t="s">
        <v>14</v>
      </c>
      <c r="J279" t="s">
        <v>14</v>
      </c>
    </row>
    <row r="280" spans="1:10" x14ac:dyDescent="0.25">
      <c r="A280" t="s">
        <v>318</v>
      </c>
      <c r="B280" s="1">
        <v>45042</v>
      </c>
      <c r="C280" t="s">
        <v>29</v>
      </c>
      <c r="D280" t="s">
        <v>60</v>
      </c>
      <c r="E280" s="4">
        <v>5</v>
      </c>
      <c r="F280" s="4">
        <v>5000</v>
      </c>
      <c r="G280" s="4">
        <v>25000</v>
      </c>
      <c r="H280" t="s">
        <v>17</v>
      </c>
      <c r="I280" t="s">
        <v>27</v>
      </c>
      <c r="J280" t="s">
        <v>27</v>
      </c>
    </row>
    <row r="281" spans="1:10" x14ac:dyDescent="0.25">
      <c r="A281" t="s">
        <v>319</v>
      </c>
      <c r="B281" s="1">
        <v>45125</v>
      </c>
      <c r="C281" t="s">
        <v>16</v>
      </c>
      <c r="D281" t="s">
        <v>24</v>
      </c>
      <c r="E281" s="4">
        <v>4</v>
      </c>
      <c r="F281" s="4">
        <v>15000</v>
      </c>
      <c r="G281" s="4">
        <v>60000</v>
      </c>
      <c r="H281" t="s">
        <v>36</v>
      </c>
      <c r="I281" t="s">
        <v>18</v>
      </c>
      <c r="J281" t="s">
        <v>18</v>
      </c>
    </row>
    <row r="282" spans="1:10" x14ac:dyDescent="0.25">
      <c r="A282" t="s">
        <v>320</v>
      </c>
      <c r="B282" s="1">
        <v>45116</v>
      </c>
      <c r="C282" t="s">
        <v>11</v>
      </c>
      <c r="D282" t="s">
        <v>50</v>
      </c>
      <c r="E282" s="4">
        <v>3</v>
      </c>
      <c r="F282" s="4">
        <v>15000</v>
      </c>
      <c r="G282" s="4">
        <v>45000</v>
      </c>
      <c r="H282" t="s">
        <v>17</v>
      </c>
      <c r="I282" t="s">
        <v>25</v>
      </c>
      <c r="J282" t="s">
        <v>25</v>
      </c>
    </row>
    <row r="283" spans="1:10" x14ac:dyDescent="0.25">
      <c r="A283" t="s">
        <v>321</v>
      </c>
      <c r="B283" s="1">
        <v>44967</v>
      </c>
      <c r="C283" t="s">
        <v>35</v>
      </c>
      <c r="D283" t="s">
        <v>38</v>
      </c>
      <c r="E283" s="4">
        <v>2</v>
      </c>
      <c r="F283" s="4">
        <v>12500</v>
      </c>
      <c r="G283" s="4">
        <v>25000</v>
      </c>
      <c r="H283" t="s">
        <v>13</v>
      </c>
      <c r="I283" t="s">
        <v>18</v>
      </c>
      <c r="J283" t="s">
        <v>18</v>
      </c>
    </row>
    <row r="284" spans="1:10" x14ac:dyDescent="0.25">
      <c r="A284" t="s">
        <v>322</v>
      </c>
      <c r="B284" s="1">
        <v>45209</v>
      </c>
      <c r="C284" t="s">
        <v>75</v>
      </c>
      <c r="D284" t="s">
        <v>44</v>
      </c>
      <c r="E284" s="4">
        <v>3</v>
      </c>
      <c r="F284" s="4">
        <v>15000</v>
      </c>
      <c r="G284" s="4">
        <v>45000</v>
      </c>
      <c r="H284" t="s">
        <v>17</v>
      </c>
      <c r="I284" t="s">
        <v>18</v>
      </c>
      <c r="J284" t="s">
        <v>18</v>
      </c>
    </row>
    <row r="285" spans="1:10" x14ac:dyDescent="0.25">
      <c r="A285" t="s">
        <v>323</v>
      </c>
      <c r="B285" s="1">
        <v>44978</v>
      </c>
      <c r="C285" t="s">
        <v>66</v>
      </c>
      <c r="D285" t="s">
        <v>12</v>
      </c>
      <c r="E285" s="4">
        <v>5</v>
      </c>
      <c r="F285" s="4">
        <v>12500</v>
      </c>
      <c r="G285" s="4">
        <v>62500</v>
      </c>
      <c r="H285" t="s">
        <v>21</v>
      </c>
      <c r="I285" t="s">
        <v>18</v>
      </c>
      <c r="J285" t="s">
        <v>18</v>
      </c>
    </row>
    <row r="286" spans="1:10" x14ac:dyDescent="0.25">
      <c r="A286" t="s">
        <v>324</v>
      </c>
      <c r="B286" s="1">
        <v>45015</v>
      </c>
      <c r="C286" t="s">
        <v>68</v>
      </c>
      <c r="D286" t="s">
        <v>60</v>
      </c>
      <c r="E286" s="4">
        <v>4</v>
      </c>
      <c r="F286" s="4">
        <v>10000</v>
      </c>
      <c r="G286" s="4">
        <v>40000</v>
      </c>
      <c r="H286" t="s">
        <v>36</v>
      </c>
      <c r="I286" t="s">
        <v>27</v>
      </c>
      <c r="J286" t="s">
        <v>27</v>
      </c>
    </row>
    <row r="287" spans="1:10" x14ac:dyDescent="0.25">
      <c r="A287" t="s">
        <v>325</v>
      </c>
      <c r="B287" s="1">
        <v>45117</v>
      </c>
      <c r="C287" t="s">
        <v>55</v>
      </c>
      <c r="D287" t="s">
        <v>48</v>
      </c>
      <c r="E287" s="4">
        <v>3</v>
      </c>
      <c r="F287" s="4">
        <v>12500</v>
      </c>
      <c r="G287" s="4">
        <v>37500</v>
      </c>
      <c r="H287" t="s">
        <v>21</v>
      </c>
      <c r="I287" t="s">
        <v>62</v>
      </c>
      <c r="J287" t="s">
        <v>62</v>
      </c>
    </row>
    <row r="288" spans="1:10" x14ac:dyDescent="0.25">
      <c r="A288" t="s">
        <v>326</v>
      </c>
      <c r="B288" s="1">
        <v>45153</v>
      </c>
      <c r="C288" t="s">
        <v>55</v>
      </c>
      <c r="D288" t="s">
        <v>44</v>
      </c>
      <c r="E288" s="4">
        <v>3</v>
      </c>
      <c r="F288" s="4">
        <v>10000</v>
      </c>
      <c r="G288" s="4">
        <v>30000</v>
      </c>
      <c r="H288" t="s">
        <v>17</v>
      </c>
      <c r="I288" t="s">
        <v>14</v>
      </c>
      <c r="J288" t="s">
        <v>14</v>
      </c>
    </row>
    <row r="289" spans="1:10" x14ac:dyDescent="0.25">
      <c r="A289" t="s">
        <v>327</v>
      </c>
      <c r="B289" s="1">
        <v>45116</v>
      </c>
      <c r="C289" t="s">
        <v>42</v>
      </c>
      <c r="D289" t="s">
        <v>33</v>
      </c>
      <c r="E289" s="4">
        <v>2</v>
      </c>
      <c r="F289" s="4">
        <v>5000</v>
      </c>
      <c r="G289" s="4">
        <v>10000</v>
      </c>
      <c r="H289" t="s">
        <v>36</v>
      </c>
      <c r="I289" t="s">
        <v>14</v>
      </c>
      <c r="J289" t="s">
        <v>14</v>
      </c>
    </row>
    <row r="290" spans="1:10" x14ac:dyDescent="0.25">
      <c r="A290" t="s">
        <v>328</v>
      </c>
      <c r="B290" s="1">
        <v>45116</v>
      </c>
      <c r="C290" t="s">
        <v>66</v>
      </c>
      <c r="D290" t="s">
        <v>24</v>
      </c>
      <c r="E290" s="4">
        <v>1</v>
      </c>
      <c r="F290" s="4">
        <v>15000</v>
      </c>
      <c r="G290" s="4">
        <v>15000</v>
      </c>
      <c r="H290" t="s">
        <v>13</v>
      </c>
      <c r="I290" t="s">
        <v>62</v>
      </c>
      <c r="J290" t="s">
        <v>62</v>
      </c>
    </row>
    <row r="291" spans="1:10" x14ac:dyDescent="0.25">
      <c r="A291" t="s">
        <v>329</v>
      </c>
      <c r="B291" s="1">
        <v>45117</v>
      </c>
      <c r="C291" t="s">
        <v>42</v>
      </c>
      <c r="D291" t="s">
        <v>24</v>
      </c>
      <c r="E291" s="4">
        <v>5</v>
      </c>
      <c r="F291" s="4">
        <v>20000</v>
      </c>
      <c r="G291" s="4">
        <v>100000</v>
      </c>
      <c r="H291" t="s">
        <v>36</v>
      </c>
      <c r="I291" t="s">
        <v>18</v>
      </c>
      <c r="J291" t="s">
        <v>18</v>
      </c>
    </row>
    <row r="292" spans="1:10" x14ac:dyDescent="0.25">
      <c r="A292" t="s">
        <v>330</v>
      </c>
      <c r="B292" s="1">
        <v>45072</v>
      </c>
      <c r="C292" t="s">
        <v>29</v>
      </c>
      <c r="D292" t="s">
        <v>48</v>
      </c>
      <c r="E292" s="4">
        <v>4</v>
      </c>
      <c r="F292" s="4">
        <v>5000</v>
      </c>
      <c r="G292" s="4">
        <v>20000</v>
      </c>
      <c r="H292" t="s">
        <v>13</v>
      </c>
      <c r="I292" t="s">
        <v>14</v>
      </c>
      <c r="J292" t="s">
        <v>14</v>
      </c>
    </row>
    <row r="293" spans="1:10" x14ac:dyDescent="0.25">
      <c r="A293" t="s">
        <v>331</v>
      </c>
      <c r="B293" s="1">
        <v>45276</v>
      </c>
      <c r="C293" t="s">
        <v>32</v>
      </c>
      <c r="D293" t="s">
        <v>48</v>
      </c>
      <c r="E293" s="4">
        <v>4</v>
      </c>
      <c r="F293" s="4">
        <v>10000</v>
      </c>
      <c r="G293" s="4">
        <v>40000</v>
      </c>
      <c r="H293" t="s">
        <v>13</v>
      </c>
      <c r="I293" t="s">
        <v>18</v>
      </c>
      <c r="J293" t="s">
        <v>18</v>
      </c>
    </row>
    <row r="294" spans="1:10" x14ac:dyDescent="0.25">
      <c r="A294" t="s">
        <v>332</v>
      </c>
      <c r="B294" s="1">
        <v>45067</v>
      </c>
      <c r="C294" t="s">
        <v>16</v>
      </c>
      <c r="D294" t="s">
        <v>38</v>
      </c>
      <c r="E294" s="4">
        <v>4</v>
      </c>
      <c r="F294" s="4">
        <v>12500</v>
      </c>
      <c r="G294" s="4">
        <v>50000</v>
      </c>
      <c r="H294" t="s">
        <v>36</v>
      </c>
      <c r="I294" t="s">
        <v>62</v>
      </c>
      <c r="J294" t="s">
        <v>62</v>
      </c>
    </row>
    <row r="295" spans="1:10" x14ac:dyDescent="0.25">
      <c r="A295" t="s">
        <v>333</v>
      </c>
      <c r="B295" s="1">
        <v>45188</v>
      </c>
      <c r="C295" t="s">
        <v>29</v>
      </c>
      <c r="D295" t="s">
        <v>44</v>
      </c>
      <c r="E295" s="4">
        <v>5</v>
      </c>
      <c r="F295" s="4">
        <v>10000</v>
      </c>
      <c r="G295" s="4">
        <v>50000</v>
      </c>
      <c r="H295" t="s">
        <v>21</v>
      </c>
      <c r="I295" t="s">
        <v>62</v>
      </c>
      <c r="J295" t="s">
        <v>62</v>
      </c>
    </row>
    <row r="296" spans="1:10" x14ac:dyDescent="0.25">
      <c r="A296" t="s">
        <v>334</v>
      </c>
      <c r="B296" s="1">
        <v>45060</v>
      </c>
      <c r="C296" t="s">
        <v>75</v>
      </c>
      <c r="D296" t="s">
        <v>60</v>
      </c>
      <c r="E296" s="4">
        <v>2</v>
      </c>
      <c r="F296" s="4">
        <v>10000</v>
      </c>
      <c r="G296" s="4">
        <v>20000</v>
      </c>
      <c r="H296" t="s">
        <v>13</v>
      </c>
      <c r="I296" t="s">
        <v>27</v>
      </c>
      <c r="J296" t="s">
        <v>27</v>
      </c>
    </row>
    <row r="297" spans="1:10" x14ac:dyDescent="0.25">
      <c r="A297" t="s">
        <v>335</v>
      </c>
      <c r="B297" s="1">
        <v>45078</v>
      </c>
      <c r="C297" t="s">
        <v>75</v>
      </c>
      <c r="D297" t="s">
        <v>60</v>
      </c>
      <c r="E297" s="4">
        <v>4</v>
      </c>
      <c r="F297" s="4">
        <v>20000</v>
      </c>
      <c r="G297" s="4">
        <v>80000</v>
      </c>
      <c r="H297" t="s">
        <v>17</v>
      </c>
      <c r="I297" t="s">
        <v>18</v>
      </c>
      <c r="J297" t="s">
        <v>18</v>
      </c>
    </row>
    <row r="298" spans="1:10" x14ac:dyDescent="0.25">
      <c r="A298" t="s">
        <v>336</v>
      </c>
      <c r="B298" s="1">
        <v>45170</v>
      </c>
      <c r="C298" t="s">
        <v>23</v>
      </c>
      <c r="D298" t="s">
        <v>44</v>
      </c>
      <c r="E298" s="4">
        <v>5</v>
      </c>
      <c r="F298" s="4">
        <v>15000</v>
      </c>
      <c r="G298" s="4">
        <v>75000</v>
      </c>
      <c r="H298" t="s">
        <v>13</v>
      </c>
      <c r="I298" t="s">
        <v>62</v>
      </c>
      <c r="J298" t="s">
        <v>62</v>
      </c>
    </row>
    <row r="299" spans="1:10" x14ac:dyDescent="0.25">
      <c r="A299" t="s">
        <v>337</v>
      </c>
      <c r="B299" s="1">
        <v>45275</v>
      </c>
      <c r="C299" t="s">
        <v>35</v>
      </c>
      <c r="D299" t="s">
        <v>44</v>
      </c>
      <c r="E299" s="4">
        <v>3</v>
      </c>
      <c r="F299" s="4">
        <v>5000</v>
      </c>
      <c r="G299" s="4">
        <v>15000</v>
      </c>
      <c r="H299" t="s">
        <v>21</v>
      </c>
      <c r="I299" t="s">
        <v>14</v>
      </c>
      <c r="J299" t="s">
        <v>14</v>
      </c>
    </row>
    <row r="300" spans="1:10" x14ac:dyDescent="0.25">
      <c r="A300" t="s">
        <v>338</v>
      </c>
      <c r="B300" s="1">
        <v>45116</v>
      </c>
      <c r="C300" t="s">
        <v>16</v>
      </c>
      <c r="D300" t="s">
        <v>24</v>
      </c>
      <c r="E300" s="4">
        <v>1</v>
      </c>
      <c r="F300" s="4">
        <v>12500</v>
      </c>
      <c r="G300" s="4">
        <v>12500</v>
      </c>
      <c r="H300" t="s">
        <v>17</v>
      </c>
      <c r="I300" t="s">
        <v>25</v>
      </c>
      <c r="J300" t="s">
        <v>25</v>
      </c>
    </row>
    <row r="301" spans="1:10" x14ac:dyDescent="0.25">
      <c r="A301" t="s">
        <v>339</v>
      </c>
      <c r="B301" s="1">
        <v>45004</v>
      </c>
      <c r="C301" t="s">
        <v>66</v>
      </c>
      <c r="D301" t="s">
        <v>20</v>
      </c>
      <c r="E301" s="4">
        <v>2</v>
      </c>
      <c r="F301" s="4">
        <v>15000</v>
      </c>
      <c r="G301" s="4">
        <v>30000</v>
      </c>
      <c r="H301" t="s">
        <v>36</v>
      </c>
      <c r="I301" t="s">
        <v>14</v>
      </c>
      <c r="J301" t="s">
        <v>14</v>
      </c>
    </row>
    <row r="302" spans="1:10" x14ac:dyDescent="0.25">
      <c r="A302" t="s">
        <v>340</v>
      </c>
      <c r="B302" s="1">
        <v>45087</v>
      </c>
      <c r="C302" t="s">
        <v>75</v>
      </c>
      <c r="D302" t="s">
        <v>48</v>
      </c>
      <c r="E302" s="4">
        <v>1</v>
      </c>
      <c r="F302" s="4">
        <v>20000</v>
      </c>
      <c r="G302" s="4">
        <v>20000</v>
      </c>
      <c r="H302" t="s">
        <v>13</v>
      </c>
      <c r="I302" t="s">
        <v>14</v>
      </c>
      <c r="J302" t="s">
        <v>14</v>
      </c>
    </row>
    <row r="303" spans="1:10" x14ac:dyDescent="0.25">
      <c r="A303" t="s">
        <v>341</v>
      </c>
      <c r="B303" s="1">
        <v>45251</v>
      </c>
      <c r="C303" t="s">
        <v>32</v>
      </c>
      <c r="D303" t="s">
        <v>38</v>
      </c>
      <c r="E303" s="4">
        <v>4</v>
      </c>
      <c r="F303" s="4">
        <v>20000</v>
      </c>
      <c r="G303" s="4">
        <v>80000</v>
      </c>
      <c r="H303" t="s">
        <v>36</v>
      </c>
      <c r="I303" t="s">
        <v>27</v>
      </c>
      <c r="J303" t="s">
        <v>27</v>
      </c>
    </row>
    <row r="304" spans="1:10" x14ac:dyDescent="0.25">
      <c r="A304" t="s">
        <v>342</v>
      </c>
      <c r="B304" s="1">
        <v>45116</v>
      </c>
      <c r="C304" t="s">
        <v>66</v>
      </c>
      <c r="D304" t="s">
        <v>30</v>
      </c>
      <c r="E304" s="4">
        <v>1</v>
      </c>
      <c r="F304" s="4">
        <v>10000</v>
      </c>
      <c r="G304" s="4">
        <v>10000</v>
      </c>
      <c r="H304" t="s">
        <v>13</v>
      </c>
      <c r="I304" t="s">
        <v>14</v>
      </c>
      <c r="J304" t="s">
        <v>14</v>
      </c>
    </row>
    <row r="305" spans="1:10" x14ac:dyDescent="0.25">
      <c r="A305" t="s">
        <v>343</v>
      </c>
      <c r="B305" s="1">
        <v>44950</v>
      </c>
      <c r="C305" t="s">
        <v>29</v>
      </c>
      <c r="D305" t="s">
        <v>60</v>
      </c>
      <c r="E305" s="4">
        <v>3</v>
      </c>
      <c r="F305" s="4">
        <v>20000</v>
      </c>
      <c r="G305" s="4">
        <v>60000</v>
      </c>
      <c r="H305" t="s">
        <v>21</v>
      </c>
      <c r="I305" t="s">
        <v>25</v>
      </c>
      <c r="J305" t="s">
        <v>25</v>
      </c>
    </row>
    <row r="306" spans="1:10" x14ac:dyDescent="0.25">
      <c r="A306" t="s">
        <v>344</v>
      </c>
      <c r="B306" s="1">
        <v>45116</v>
      </c>
      <c r="C306" t="s">
        <v>32</v>
      </c>
      <c r="D306" t="s">
        <v>48</v>
      </c>
      <c r="E306" s="4">
        <v>2</v>
      </c>
      <c r="F306" s="4">
        <v>10000</v>
      </c>
      <c r="G306" s="4">
        <v>20000</v>
      </c>
      <c r="H306" t="s">
        <v>13</v>
      </c>
      <c r="I306" t="s">
        <v>14</v>
      </c>
      <c r="J306" t="s">
        <v>14</v>
      </c>
    </row>
    <row r="307" spans="1:10" x14ac:dyDescent="0.25">
      <c r="A307" t="s">
        <v>345</v>
      </c>
      <c r="B307" s="1">
        <v>45254</v>
      </c>
      <c r="C307" t="s">
        <v>29</v>
      </c>
      <c r="D307" t="s">
        <v>24</v>
      </c>
      <c r="E307" s="4">
        <v>5</v>
      </c>
      <c r="F307" s="4">
        <v>15000</v>
      </c>
      <c r="G307" s="4">
        <v>75000</v>
      </c>
      <c r="H307" t="s">
        <v>17</v>
      </c>
      <c r="I307" t="s">
        <v>27</v>
      </c>
      <c r="J307" t="s">
        <v>27</v>
      </c>
    </row>
    <row r="308" spans="1:10" x14ac:dyDescent="0.25">
      <c r="A308" t="s">
        <v>346</v>
      </c>
      <c r="B308" s="1">
        <v>45169</v>
      </c>
      <c r="C308" t="s">
        <v>68</v>
      </c>
      <c r="D308" t="s">
        <v>20</v>
      </c>
      <c r="E308" s="4">
        <v>2</v>
      </c>
      <c r="F308" s="4">
        <v>10000</v>
      </c>
      <c r="G308" s="4">
        <v>20000</v>
      </c>
      <c r="H308" t="s">
        <v>17</v>
      </c>
      <c r="I308" t="s">
        <v>62</v>
      </c>
      <c r="J308" t="s">
        <v>62</v>
      </c>
    </row>
    <row r="309" spans="1:10" x14ac:dyDescent="0.25">
      <c r="A309" t="s">
        <v>347</v>
      </c>
      <c r="B309" s="1">
        <v>44980</v>
      </c>
      <c r="C309" t="s">
        <v>23</v>
      </c>
      <c r="D309" t="s">
        <v>33</v>
      </c>
      <c r="E309" s="4">
        <v>3</v>
      </c>
      <c r="F309" s="4">
        <v>15000</v>
      </c>
      <c r="G309" s="4">
        <v>45000</v>
      </c>
      <c r="H309" t="s">
        <v>21</v>
      </c>
      <c r="I309" t="s">
        <v>27</v>
      </c>
      <c r="J309" t="s">
        <v>27</v>
      </c>
    </row>
    <row r="310" spans="1:10" x14ac:dyDescent="0.25">
      <c r="A310" t="s">
        <v>348</v>
      </c>
      <c r="B310" s="1">
        <v>45110</v>
      </c>
      <c r="C310" t="s">
        <v>55</v>
      </c>
      <c r="D310" t="s">
        <v>38</v>
      </c>
      <c r="E310" s="4">
        <v>3</v>
      </c>
      <c r="F310" s="4">
        <v>10000</v>
      </c>
      <c r="G310" s="4">
        <v>30000</v>
      </c>
      <c r="H310" t="s">
        <v>36</v>
      </c>
      <c r="I310" t="s">
        <v>14</v>
      </c>
      <c r="J310" t="s">
        <v>14</v>
      </c>
    </row>
    <row r="311" spans="1:10" x14ac:dyDescent="0.25">
      <c r="A311" t="s">
        <v>349</v>
      </c>
      <c r="B311" s="1">
        <v>45116</v>
      </c>
      <c r="C311" t="s">
        <v>29</v>
      </c>
      <c r="D311" t="s">
        <v>12</v>
      </c>
      <c r="E311" s="4">
        <v>5</v>
      </c>
      <c r="F311" s="4">
        <v>5000</v>
      </c>
      <c r="G311" s="4">
        <v>25000</v>
      </c>
      <c r="H311" t="s">
        <v>17</v>
      </c>
      <c r="I311" t="s">
        <v>62</v>
      </c>
      <c r="J311" t="s">
        <v>62</v>
      </c>
    </row>
    <row r="312" spans="1:10" x14ac:dyDescent="0.25">
      <c r="A312" t="s">
        <v>350</v>
      </c>
      <c r="B312" s="1">
        <v>45016</v>
      </c>
      <c r="C312" t="s">
        <v>23</v>
      </c>
      <c r="D312" t="s">
        <v>48</v>
      </c>
      <c r="E312" s="4">
        <v>3</v>
      </c>
      <c r="F312" s="4">
        <v>15000</v>
      </c>
      <c r="G312" s="4">
        <v>45000</v>
      </c>
      <c r="H312" t="s">
        <v>21</v>
      </c>
      <c r="I312" t="s">
        <v>27</v>
      </c>
      <c r="J312" t="s">
        <v>25</v>
      </c>
    </row>
    <row r="313" spans="1:10" x14ac:dyDescent="0.25">
      <c r="A313" t="s">
        <v>351</v>
      </c>
      <c r="B313" s="1">
        <v>45014</v>
      </c>
      <c r="C313" t="s">
        <v>66</v>
      </c>
      <c r="D313" t="s">
        <v>44</v>
      </c>
      <c r="E313" s="4">
        <v>3</v>
      </c>
      <c r="F313" s="4">
        <v>20000</v>
      </c>
      <c r="G313" s="4">
        <v>60000</v>
      </c>
      <c r="H313" t="s">
        <v>21</v>
      </c>
      <c r="I313" t="s">
        <v>27</v>
      </c>
      <c r="J313" t="s">
        <v>27</v>
      </c>
    </row>
    <row r="314" spans="1:10" x14ac:dyDescent="0.25">
      <c r="A314" t="s">
        <v>352</v>
      </c>
      <c r="B314" s="1">
        <v>45124</v>
      </c>
      <c r="C314" t="s">
        <v>32</v>
      </c>
      <c r="D314" t="s">
        <v>24</v>
      </c>
      <c r="E314" s="4">
        <v>4</v>
      </c>
      <c r="F314" s="4">
        <v>10000</v>
      </c>
      <c r="G314" s="4">
        <v>40000</v>
      </c>
      <c r="H314" t="s">
        <v>17</v>
      </c>
      <c r="I314" t="s">
        <v>14</v>
      </c>
      <c r="J314" t="s">
        <v>14</v>
      </c>
    </row>
    <row r="315" spans="1:10" x14ac:dyDescent="0.25">
      <c r="A315" t="s">
        <v>353</v>
      </c>
      <c r="B315" s="1">
        <v>45218</v>
      </c>
      <c r="C315" t="s">
        <v>32</v>
      </c>
      <c r="D315" t="s">
        <v>24</v>
      </c>
      <c r="E315" s="4">
        <v>2</v>
      </c>
      <c r="F315" s="4">
        <v>15000</v>
      </c>
      <c r="G315" s="4">
        <v>30000</v>
      </c>
      <c r="H315" t="s">
        <v>21</v>
      </c>
      <c r="I315" t="s">
        <v>18</v>
      </c>
      <c r="J315" t="s">
        <v>18</v>
      </c>
    </row>
    <row r="316" spans="1:10" x14ac:dyDescent="0.25">
      <c r="A316" t="s">
        <v>354</v>
      </c>
      <c r="B316" s="1">
        <v>45176</v>
      </c>
      <c r="C316" t="s">
        <v>29</v>
      </c>
      <c r="D316" t="s">
        <v>12</v>
      </c>
      <c r="E316" s="4">
        <v>4</v>
      </c>
      <c r="F316" s="4">
        <v>20000</v>
      </c>
      <c r="G316" s="4">
        <v>80000</v>
      </c>
      <c r="H316" t="s">
        <v>17</v>
      </c>
      <c r="I316" t="s">
        <v>62</v>
      </c>
      <c r="J316" t="s">
        <v>62</v>
      </c>
    </row>
    <row r="317" spans="1:10" x14ac:dyDescent="0.25">
      <c r="A317" t="s">
        <v>355</v>
      </c>
      <c r="B317" s="1">
        <v>45216</v>
      </c>
      <c r="C317" t="s">
        <v>29</v>
      </c>
      <c r="D317" t="s">
        <v>30</v>
      </c>
      <c r="E317" s="4">
        <v>3</v>
      </c>
      <c r="F317" s="4">
        <v>12500</v>
      </c>
      <c r="G317" s="4">
        <v>37500</v>
      </c>
      <c r="H317" t="s">
        <v>17</v>
      </c>
      <c r="I317" t="s">
        <v>25</v>
      </c>
      <c r="J317" t="s">
        <v>25</v>
      </c>
    </row>
    <row r="318" spans="1:10" x14ac:dyDescent="0.25">
      <c r="A318" t="s">
        <v>356</v>
      </c>
      <c r="B318" s="1">
        <v>45212</v>
      </c>
      <c r="C318" t="s">
        <v>55</v>
      </c>
      <c r="D318" t="s">
        <v>50</v>
      </c>
      <c r="E318" s="4">
        <v>1</v>
      </c>
      <c r="F318" s="4">
        <v>5000</v>
      </c>
      <c r="G318" s="4">
        <v>5000</v>
      </c>
      <c r="H318" t="s">
        <v>13</v>
      </c>
      <c r="I318" t="s">
        <v>18</v>
      </c>
      <c r="J318" t="s">
        <v>18</v>
      </c>
    </row>
    <row r="319" spans="1:10" x14ac:dyDescent="0.25">
      <c r="A319" t="s">
        <v>357</v>
      </c>
      <c r="B319" s="1">
        <v>45069</v>
      </c>
      <c r="C319" t="s">
        <v>16</v>
      </c>
      <c r="D319" t="s">
        <v>48</v>
      </c>
      <c r="E319" s="4">
        <v>5</v>
      </c>
      <c r="F319" s="4">
        <v>10000</v>
      </c>
      <c r="G319" s="4">
        <v>50000</v>
      </c>
      <c r="H319" t="s">
        <v>36</v>
      </c>
      <c r="I319" t="s">
        <v>25</v>
      </c>
      <c r="J319" t="s">
        <v>25</v>
      </c>
    </row>
    <row r="320" spans="1:10" x14ac:dyDescent="0.25">
      <c r="A320" t="s">
        <v>358</v>
      </c>
      <c r="B320" s="1">
        <v>45088</v>
      </c>
      <c r="C320" t="s">
        <v>68</v>
      </c>
      <c r="D320" t="s">
        <v>12</v>
      </c>
      <c r="E320" s="4">
        <v>4</v>
      </c>
      <c r="F320" s="4">
        <v>10000</v>
      </c>
      <c r="G320" s="4">
        <v>40000</v>
      </c>
      <c r="H320" t="s">
        <v>17</v>
      </c>
      <c r="I320" t="s">
        <v>27</v>
      </c>
      <c r="J320" t="s">
        <v>27</v>
      </c>
    </row>
    <row r="321" spans="1:10" x14ac:dyDescent="0.25">
      <c r="A321" t="s">
        <v>359</v>
      </c>
      <c r="B321" s="1">
        <v>45243</v>
      </c>
      <c r="C321" t="s">
        <v>66</v>
      </c>
      <c r="D321" t="s">
        <v>60</v>
      </c>
      <c r="E321" s="4">
        <v>5</v>
      </c>
      <c r="F321" s="4">
        <v>15000</v>
      </c>
      <c r="G321" s="4">
        <v>75000</v>
      </c>
      <c r="H321" t="s">
        <v>36</v>
      </c>
      <c r="I321" t="s">
        <v>62</v>
      </c>
      <c r="J321" t="s">
        <v>62</v>
      </c>
    </row>
    <row r="322" spans="1:10" x14ac:dyDescent="0.25">
      <c r="A322" t="s">
        <v>360</v>
      </c>
      <c r="B322" s="1">
        <v>45234</v>
      </c>
      <c r="C322" t="s">
        <v>23</v>
      </c>
      <c r="D322" t="s">
        <v>24</v>
      </c>
      <c r="E322" s="4">
        <v>3</v>
      </c>
      <c r="F322" s="4">
        <v>10000</v>
      </c>
      <c r="G322" s="4">
        <v>30000</v>
      </c>
      <c r="H322" t="s">
        <v>36</v>
      </c>
      <c r="I322" t="s">
        <v>27</v>
      </c>
      <c r="J322" t="s">
        <v>27</v>
      </c>
    </row>
    <row r="323" spans="1:10" x14ac:dyDescent="0.25">
      <c r="A323" t="s">
        <v>361</v>
      </c>
      <c r="B323" s="1">
        <v>45076</v>
      </c>
      <c r="C323" t="s">
        <v>11</v>
      </c>
      <c r="D323" t="s">
        <v>33</v>
      </c>
      <c r="E323" s="4">
        <v>5</v>
      </c>
      <c r="F323" s="4">
        <v>15000</v>
      </c>
      <c r="G323" s="4">
        <v>75000</v>
      </c>
      <c r="H323" t="s">
        <v>17</v>
      </c>
      <c r="I323" t="s">
        <v>27</v>
      </c>
      <c r="J323" t="s">
        <v>27</v>
      </c>
    </row>
    <row r="324" spans="1:10" x14ac:dyDescent="0.25">
      <c r="A324" t="s">
        <v>362</v>
      </c>
      <c r="B324" s="1">
        <v>45027</v>
      </c>
      <c r="C324" t="s">
        <v>16</v>
      </c>
      <c r="D324" t="s">
        <v>30</v>
      </c>
      <c r="E324" s="4">
        <v>1</v>
      </c>
      <c r="F324" s="4">
        <v>12500</v>
      </c>
      <c r="G324" s="4">
        <v>12500</v>
      </c>
      <c r="H324" t="s">
        <v>13</v>
      </c>
      <c r="I324" t="s">
        <v>25</v>
      </c>
      <c r="J324" t="s">
        <v>25</v>
      </c>
    </row>
    <row r="325" spans="1:10" x14ac:dyDescent="0.25">
      <c r="A325" t="s">
        <v>363</v>
      </c>
      <c r="B325" s="1">
        <v>45228</v>
      </c>
      <c r="C325" t="s">
        <v>32</v>
      </c>
      <c r="D325" t="s">
        <v>12</v>
      </c>
      <c r="E325" s="4">
        <v>4</v>
      </c>
      <c r="F325" s="4">
        <v>20000</v>
      </c>
      <c r="G325" s="4">
        <v>80000</v>
      </c>
      <c r="H325" t="s">
        <v>13</v>
      </c>
      <c r="I325" t="s">
        <v>25</v>
      </c>
      <c r="J325" t="s">
        <v>25</v>
      </c>
    </row>
    <row r="326" spans="1:10" x14ac:dyDescent="0.25">
      <c r="A326" t="s">
        <v>364</v>
      </c>
      <c r="B326" s="1">
        <v>45017</v>
      </c>
      <c r="C326" t="s">
        <v>29</v>
      </c>
      <c r="D326" t="s">
        <v>50</v>
      </c>
      <c r="E326" s="4">
        <v>2</v>
      </c>
      <c r="F326" s="4">
        <v>10000</v>
      </c>
      <c r="G326" s="4">
        <v>20000</v>
      </c>
      <c r="H326" t="s">
        <v>17</v>
      </c>
      <c r="I326" t="s">
        <v>25</v>
      </c>
      <c r="J326" t="s">
        <v>25</v>
      </c>
    </row>
    <row r="327" spans="1:10" x14ac:dyDescent="0.25">
      <c r="A327" t="s">
        <v>365</v>
      </c>
      <c r="B327" s="1">
        <v>45281</v>
      </c>
      <c r="C327" t="s">
        <v>11</v>
      </c>
      <c r="D327" t="s">
        <v>30</v>
      </c>
      <c r="E327" s="4">
        <v>3</v>
      </c>
      <c r="F327" s="4">
        <v>20000</v>
      </c>
      <c r="G327" s="4">
        <v>60000</v>
      </c>
      <c r="H327" t="s">
        <v>21</v>
      </c>
      <c r="I327" t="s">
        <v>25</v>
      </c>
      <c r="J327" t="s">
        <v>25</v>
      </c>
    </row>
    <row r="328" spans="1:10" x14ac:dyDescent="0.25">
      <c r="A328" t="s">
        <v>366</v>
      </c>
      <c r="B328" s="1">
        <v>45207</v>
      </c>
      <c r="C328" t="s">
        <v>16</v>
      </c>
      <c r="D328" t="s">
        <v>44</v>
      </c>
      <c r="E328" s="4">
        <v>3</v>
      </c>
      <c r="F328" s="4">
        <v>10000</v>
      </c>
      <c r="G328" s="4">
        <v>30000</v>
      </c>
      <c r="H328" t="s">
        <v>13</v>
      </c>
      <c r="I328" t="s">
        <v>14</v>
      </c>
      <c r="J328" t="s">
        <v>14</v>
      </c>
    </row>
    <row r="329" spans="1:10" x14ac:dyDescent="0.25">
      <c r="A329" t="s">
        <v>367</v>
      </c>
      <c r="B329" s="1">
        <v>45259</v>
      </c>
      <c r="C329" t="s">
        <v>66</v>
      </c>
      <c r="D329" t="s">
        <v>20</v>
      </c>
      <c r="E329" s="4">
        <v>5</v>
      </c>
      <c r="F329" s="4">
        <v>15000</v>
      </c>
      <c r="G329" s="4">
        <v>75000</v>
      </c>
      <c r="H329" t="s">
        <v>21</v>
      </c>
      <c r="I329" t="s">
        <v>27</v>
      </c>
      <c r="J329" t="s">
        <v>27</v>
      </c>
    </row>
    <row r="330" spans="1:10" x14ac:dyDescent="0.25">
      <c r="A330" t="s">
        <v>368</v>
      </c>
      <c r="B330" s="1">
        <v>45200</v>
      </c>
      <c r="C330" t="s">
        <v>68</v>
      </c>
      <c r="D330" t="s">
        <v>60</v>
      </c>
      <c r="E330" s="4">
        <v>4</v>
      </c>
      <c r="F330" s="4">
        <v>12500</v>
      </c>
      <c r="G330" s="4">
        <v>50000</v>
      </c>
      <c r="H330" t="s">
        <v>17</v>
      </c>
      <c r="I330" t="s">
        <v>27</v>
      </c>
      <c r="J330" t="s">
        <v>27</v>
      </c>
    </row>
    <row r="331" spans="1:10" x14ac:dyDescent="0.25">
      <c r="A331" t="s">
        <v>369</v>
      </c>
      <c r="B331" s="1">
        <v>45073</v>
      </c>
      <c r="C331" t="s">
        <v>42</v>
      </c>
      <c r="D331" t="s">
        <v>60</v>
      </c>
      <c r="E331" s="4">
        <v>2</v>
      </c>
      <c r="F331" s="4">
        <v>12500</v>
      </c>
      <c r="G331" s="4">
        <v>25000</v>
      </c>
      <c r="H331" t="s">
        <v>21</v>
      </c>
      <c r="I331" t="s">
        <v>14</v>
      </c>
      <c r="J331" t="s">
        <v>14</v>
      </c>
    </row>
    <row r="332" spans="1:10" x14ac:dyDescent="0.25">
      <c r="A332" t="s">
        <v>370</v>
      </c>
      <c r="B332" s="1">
        <v>45041</v>
      </c>
      <c r="C332" t="s">
        <v>68</v>
      </c>
      <c r="D332" t="s">
        <v>33</v>
      </c>
      <c r="E332" s="4">
        <v>4</v>
      </c>
      <c r="F332" s="4">
        <v>10000</v>
      </c>
      <c r="G332" s="4">
        <v>40000</v>
      </c>
      <c r="H332" t="s">
        <v>21</v>
      </c>
      <c r="I332" t="s">
        <v>27</v>
      </c>
      <c r="J332" t="s">
        <v>27</v>
      </c>
    </row>
    <row r="333" spans="1:10" x14ac:dyDescent="0.25">
      <c r="A333" t="s">
        <v>371</v>
      </c>
      <c r="B333" s="1">
        <v>44933</v>
      </c>
      <c r="C333" t="s">
        <v>75</v>
      </c>
      <c r="D333" t="s">
        <v>60</v>
      </c>
      <c r="E333" s="4">
        <v>2</v>
      </c>
      <c r="F333" s="4">
        <v>15000</v>
      </c>
      <c r="G333" s="4">
        <v>30000</v>
      </c>
      <c r="H333" t="s">
        <v>13</v>
      </c>
      <c r="I333" t="s">
        <v>62</v>
      </c>
      <c r="J333" t="s">
        <v>62</v>
      </c>
    </row>
    <row r="334" spans="1:10" x14ac:dyDescent="0.25">
      <c r="A334" t="s">
        <v>372</v>
      </c>
      <c r="B334" s="1">
        <v>45017</v>
      </c>
      <c r="C334" t="s">
        <v>32</v>
      </c>
      <c r="D334" t="s">
        <v>12</v>
      </c>
      <c r="E334" s="4">
        <v>2</v>
      </c>
      <c r="F334" s="4">
        <v>10000</v>
      </c>
      <c r="G334" s="4">
        <v>20000</v>
      </c>
      <c r="H334" t="s">
        <v>17</v>
      </c>
      <c r="I334" t="s">
        <v>25</v>
      </c>
      <c r="J334" t="s">
        <v>25</v>
      </c>
    </row>
    <row r="335" spans="1:10" x14ac:dyDescent="0.25">
      <c r="A335" t="s">
        <v>373</v>
      </c>
      <c r="B335" s="1">
        <v>45096</v>
      </c>
      <c r="C335" t="s">
        <v>75</v>
      </c>
      <c r="D335" t="s">
        <v>24</v>
      </c>
      <c r="E335" s="4">
        <v>3</v>
      </c>
      <c r="F335" s="4">
        <v>10000</v>
      </c>
      <c r="G335" s="4">
        <v>30000</v>
      </c>
      <c r="H335" t="s">
        <v>13</v>
      </c>
      <c r="I335" t="s">
        <v>62</v>
      </c>
      <c r="J335" t="s">
        <v>62</v>
      </c>
    </row>
    <row r="336" spans="1:10" x14ac:dyDescent="0.25">
      <c r="A336" t="s">
        <v>374</v>
      </c>
      <c r="B336" s="1">
        <v>45220</v>
      </c>
      <c r="C336" t="s">
        <v>16</v>
      </c>
      <c r="D336" t="s">
        <v>33</v>
      </c>
      <c r="E336" s="4">
        <v>3</v>
      </c>
      <c r="F336" s="4">
        <v>5000</v>
      </c>
      <c r="G336" s="4">
        <v>15000</v>
      </c>
      <c r="H336" t="s">
        <v>21</v>
      </c>
      <c r="I336" t="s">
        <v>18</v>
      </c>
      <c r="J336" t="s">
        <v>18</v>
      </c>
    </row>
    <row r="337" spans="1:10" x14ac:dyDescent="0.25">
      <c r="A337" t="s">
        <v>375</v>
      </c>
      <c r="B337" s="1">
        <v>45133</v>
      </c>
      <c r="C337" t="s">
        <v>66</v>
      </c>
      <c r="D337" t="s">
        <v>12</v>
      </c>
      <c r="E337" s="4">
        <v>3</v>
      </c>
      <c r="F337" s="4">
        <v>10000</v>
      </c>
      <c r="G337" s="4">
        <v>30000</v>
      </c>
      <c r="H337" t="s">
        <v>21</v>
      </c>
      <c r="I337" t="s">
        <v>62</v>
      </c>
      <c r="J337" t="s">
        <v>62</v>
      </c>
    </row>
    <row r="338" spans="1:10" x14ac:dyDescent="0.25">
      <c r="A338" t="s">
        <v>376</v>
      </c>
      <c r="B338" s="1">
        <v>45259</v>
      </c>
      <c r="C338" t="s">
        <v>29</v>
      </c>
      <c r="D338" t="s">
        <v>48</v>
      </c>
      <c r="E338" s="4">
        <v>1</v>
      </c>
      <c r="F338" s="4">
        <v>10000</v>
      </c>
      <c r="G338" s="4">
        <v>10000</v>
      </c>
      <c r="H338" t="s">
        <v>36</v>
      </c>
      <c r="I338" t="s">
        <v>14</v>
      </c>
      <c r="J338" t="s">
        <v>14</v>
      </c>
    </row>
    <row r="339" spans="1:10" x14ac:dyDescent="0.25">
      <c r="A339" t="s">
        <v>377</v>
      </c>
      <c r="B339" s="1">
        <v>45116</v>
      </c>
      <c r="C339" t="s">
        <v>42</v>
      </c>
      <c r="D339" t="s">
        <v>38</v>
      </c>
      <c r="E339" s="4">
        <v>3</v>
      </c>
      <c r="F339" s="4">
        <v>15000</v>
      </c>
      <c r="G339" s="4">
        <v>45000</v>
      </c>
      <c r="H339" t="s">
        <v>21</v>
      </c>
      <c r="I339" t="s">
        <v>27</v>
      </c>
      <c r="J339" t="s">
        <v>27</v>
      </c>
    </row>
    <row r="340" spans="1:10" x14ac:dyDescent="0.25">
      <c r="A340" t="s">
        <v>378</v>
      </c>
      <c r="B340" s="1">
        <v>45260</v>
      </c>
      <c r="C340" t="s">
        <v>42</v>
      </c>
      <c r="D340" t="s">
        <v>30</v>
      </c>
      <c r="E340" s="4">
        <v>3</v>
      </c>
      <c r="F340" s="4">
        <v>15000</v>
      </c>
      <c r="G340" s="4">
        <v>45000</v>
      </c>
      <c r="H340" t="s">
        <v>17</v>
      </c>
      <c r="I340" t="s">
        <v>14</v>
      </c>
      <c r="J340" t="s">
        <v>14</v>
      </c>
    </row>
    <row r="341" spans="1:10" x14ac:dyDescent="0.25">
      <c r="A341" t="s">
        <v>379</v>
      </c>
      <c r="B341" s="1">
        <v>45116</v>
      </c>
      <c r="C341" t="s">
        <v>29</v>
      </c>
      <c r="D341" t="s">
        <v>38</v>
      </c>
      <c r="E341" s="4">
        <v>1</v>
      </c>
      <c r="F341" s="4">
        <v>10000</v>
      </c>
      <c r="G341" s="4">
        <v>10000</v>
      </c>
      <c r="H341" t="s">
        <v>36</v>
      </c>
      <c r="I341" t="s">
        <v>27</v>
      </c>
      <c r="J341" t="s">
        <v>27</v>
      </c>
    </row>
    <row r="342" spans="1:10" x14ac:dyDescent="0.25">
      <c r="A342" t="s">
        <v>380</v>
      </c>
      <c r="B342" s="1">
        <v>45055</v>
      </c>
      <c r="C342" t="s">
        <v>68</v>
      </c>
      <c r="D342" t="s">
        <v>33</v>
      </c>
      <c r="E342" s="4">
        <v>1</v>
      </c>
      <c r="F342" s="4">
        <v>15000</v>
      </c>
      <c r="G342" s="4">
        <v>15000</v>
      </c>
      <c r="H342" t="s">
        <v>21</v>
      </c>
      <c r="I342" t="s">
        <v>25</v>
      </c>
      <c r="J342" t="s">
        <v>25</v>
      </c>
    </row>
    <row r="343" spans="1:10" x14ac:dyDescent="0.25">
      <c r="A343" t="s">
        <v>381</v>
      </c>
      <c r="B343" s="1">
        <v>45116</v>
      </c>
      <c r="C343" t="s">
        <v>66</v>
      </c>
      <c r="D343" t="s">
        <v>50</v>
      </c>
      <c r="E343" s="4">
        <v>1</v>
      </c>
      <c r="F343" s="4">
        <v>12500</v>
      </c>
      <c r="G343" s="4">
        <v>12500</v>
      </c>
      <c r="H343" t="s">
        <v>17</v>
      </c>
      <c r="I343" t="s">
        <v>27</v>
      </c>
      <c r="J343" t="s">
        <v>27</v>
      </c>
    </row>
    <row r="344" spans="1:10" x14ac:dyDescent="0.25">
      <c r="A344" t="s">
        <v>382</v>
      </c>
      <c r="B344" s="1">
        <v>45151</v>
      </c>
      <c r="C344" t="s">
        <v>11</v>
      </c>
      <c r="D344" t="s">
        <v>38</v>
      </c>
      <c r="E344" s="4">
        <v>4</v>
      </c>
      <c r="F344" s="4">
        <v>12500</v>
      </c>
      <c r="G344" s="4">
        <v>50000</v>
      </c>
      <c r="H344" t="s">
        <v>17</v>
      </c>
      <c r="I344" t="s">
        <v>25</v>
      </c>
      <c r="J344" t="s">
        <v>25</v>
      </c>
    </row>
    <row r="345" spans="1:10" x14ac:dyDescent="0.25">
      <c r="A345" t="s">
        <v>383</v>
      </c>
      <c r="B345" s="1">
        <v>45251</v>
      </c>
      <c r="C345" t="s">
        <v>42</v>
      </c>
      <c r="D345" t="s">
        <v>20</v>
      </c>
      <c r="E345" s="4">
        <v>3</v>
      </c>
      <c r="F345" s="4">
        <v>10000</v>
      </c>
      <c r="G345" s="4">
        <v>30000</v>
      </c>
      <c r="H345" t="s">
        <v>21</v>
      </c>
      <c r="I345" t="s">
        <v>27</v>
      </c>
      <c r="J345" t="s">
        <v>27</v>
      </c>
    </row>
    <row r="346" spans="1:10" x14ac:dyDescent="0.25">
      <c r="A346" t="s">
        <v>384</v>
      </c>
      <c r="B346" s="1">
        <v>45207</v>
      </c>
      <c r="C346" t="s">
        <v>68</v>
      </c>
      <c r="D346" t="s">
        <v>12</v>
      </c>
      <c r="E346" s="4">
        <v>3</v>
      </c>
      <c r="F346" s="4">
        <v>10000</v>
      </c>
      <c r="G346" s="4">
        <v>30000</v>
      </c>
      <c r="H346" t="s">
        <v>21</v>
      </c>
      <c r="I346" t="s">
        <v>14</v>
      </c>
      <c r="J346" t="s">
        <v>14</v>
      </c>
    </row>
    <row r="347" spans="1:10" x14ac:dyDescent="0.25">
      <c r="A347" t="s">
        <v>385</v>
      </c>
      <c r="B347" s="1">
        <v>45056</v>
      </c>
      <c r="C347" t="s">
        <v>55</v>
      </c>
      <c r="D347" t="s">
        <v>30</v>
      </c>
      <c r="E347" s="4">
        <v>1</v>
      </c>
      <c r="F347" s="4">
        <v>10000</v>
      </c>
      <c r="G347" s="4">
        <v>10000</v>
      </c>
      <c r="H347" t="s">
        <v>17</v>
      </c>
      <c r="I347" t="s">
        <v>18</v>
      </c>
      <c r="J347" t="s">
        <v>18</v>
      </c>
    </row>
    <row r="348" spans="1:10" x14ac:dyDescent="0.25">
      <c r="A348" t="s">
        <v>386</v>
      </c>
      <c r="B348" s="1">
        <v>45224</v>
      </c>
      <c r="C348" t="s">
        <v>35</v>
      </c>
      <c r="D348" t="s">
        <v>24</v>
      </c>
      <c r="E348" s="4">
        <v>3</v>
      </c>
      <c r="F348" s="4">
        <v>15000</v>
      </c>
      <c r="G348" s="4">
        <v>45000</v>
      </c>
      <c r="H348" t="s">
        <v>13</v>
      </c>
      <c r="I348" t="s">
        <v>27</v>
      </c>
      <c r="J348" t="s">
        <v>27</v>
      </c>
    </row>
    <row r="349" spans="1:10" x14ac:dyDescent="0.25">
      <c r="A349" t="s">
        <v>387</v>
      </c>
      <c r="B349" s="1">
        <v>45083</v>
      </c>
      <c r="C349" t="s">
        <v>68</v>
      </c>
      <c r="D349" t="s">
        <v>50</v>
      </c>
      <c r="E349" s="4">
        <v>2</v>
      </c>
      <c r="F349" s="4">
        <v>15000</v>
      </c>
      <c r="G349" s="4">
        <v>30000</v>
      </c>
      <c r="H349" t="s">
        <v>21</v>
      </c>
      <c r="I349" t="s">
        <v>62</v>
      </c>
      <c r="J349" t="s">
        <v>62</v>
      </c>
    </row>
    <row r="350" spans="1:10" x14ac:dyDescent="0.25">
      <c r="A350" t="s">
        <v>388</v>
      </c>
      <c r="B350" s="1">
        <v>45068</v>
      </c>
      <c r="C350" t="s">
        <v>55</v>
      </c>
      <c r="D350" t="s">
        <v>44</v>
      </c>
      <c r="E350" s="4">
        <v>2</v>
      </c>
      <c r="F350" s="4">
        <v>10000</v>
      </c>
      <c r="G350" s="4">
        <v>20000</v>
      </c>
      <c r="H350" t="s">
        <v>21</v>
      </c>
      <c r="I350" t="s">
        <v>25</v>
      </c>
      <c r="J350" t="s">
        <v>25</v>
      </c>
    </row>
    <row r="351" spans="1:10" x14ac:dyDescent="0.25">
      <c r="A351" t="s">
        <v>389</v>
      </c>
      <c r="B351" s="1">
        <v>44968</v>
      </c>
      <c r="C351" t="s">
        <v>23</v>
      </c>
      <c r="D351" t="s">
        <v>60</v>
      </c>
      <c r="E351" s="4">
        <v>2</v>
      </c>
      <c r="F351" s="4">
        <v>15000</v>
      </c>
      <c r="G351" s="4">
        <v>30000</v>
      </c>
      <c r="H351" t="s">
        <v>21</v>
      </c>
      <c r="I351" t="s">
        <v>27</v>
      </c>
      <c r="J351" t="s">
        <v>27</v>
      </c>
    </row>
    <row r="352" spans="1:10" x14ac:dyDescent="0.25">
      <c r="A352" t="s">
        <v>390</v>
      </c>
      <c r="B352" s="1">
        <v>45229</v>
      </c>
      <c r="C352" t="s">
        <v>66</v>
      </c>
      <c r="D352" t="s">
        <v>30</v>
      </c>
      <c r="E352" s="4">
        <v>1</v>
      </c>
      <c r="F352" s="4">
        <v>15000</v>
      </c>
      <c r="G352" s="4">
        <v>15000</v>
      </c>
      <c r="H352" t="s">
        <v>36</v>
      </c>
      <c r="I352" t="s">
        <v>14</v>
      </c>
      <c r="J352" t="s">
        <v>14</v>
      </c>
    </row>
    <row r="353" spans="1:10" x14ac:dyDescent="0.25">
      <c r="A353" t="s">
        <v>391</v>
      </c>
      <c r="B353" s="1">
        <v>45183</v>
      </c>
      <c r="C353" t="s">
        <v>75</v>
      </c>
      <c r="D353" t="s">
        <v>33</v>
      </c>
      <c r="E353" s="4">
        <v>1</v>
      </c>
      <c r="F353" s="4">
        <v>20000</v>
      </c>
      <c r="G353" s="4">
        <v>20000</v>
      </c>
      <c r="H353" t="s">
        <v>17</v>
      </c>
      <c r="I353" t="s">
        <v>14</v>
      </c>
      <c r="J353" t="s">
        <v>14</v>
      </c>
    </row>
    <row r="354" spans="1:10" x14ac:dyDescent="0.25">
      <c r="A354" t="s">
        <v>392</v>
      </c>
      <c r="B354" s="1">
        <v>45216</v>
      </c>
      <c r="C354" t="s">
        <v>16</v>
      </c>
      <c r="D354" t="s">
        <v>20</v>
      </c>
      <c r="E354" s="4">
        <v>3</v>
      </c>
      <c r="F354" s="4">
        <v>10000</v>
      </c>
      <c r="G354" s="4">
        <v>30000</v>
      </c>
      <c r="H354" t="s">
        <v>21</v>
      </c>
      <c r="I354" t="s">
        <v>27</v>
      </c>
      <c r="J354" t="s">
        <v>27</v>
      </c>
    </row>
    <row r="355" spans="1:10" x14ac:dyDescent="0.25">
      <c r="A355" t="s">
        <v>393</v>
      </c>
      <c r="B355" s="1">
        <v>45192</v>
      </c>
      <c r="C355" t="s">
        <v>29</v>
      </c>
      <c r="D355" t="s">
        <v>44</v>
      </c>
      <c r="E355" s="4">
        <v>4</v>
      </c>
      <c r="F355" s="4">
        <v>20000</v>
      </c>
      <c r="G355" s="4">
        <v>80000</v>
      </c>
      <c r="H355" t="s">
        <v>17</v>
      </c>
      <c r="I355" t="s">
        <v>27</v>
      </c>
      <c r="J355" t="s">
        <v>27</v>
      </c>
    </row>
    <row r="356" spans="1:10" x14ac:dyDescent="0.25">
      <c r="A356" t="s">
        <v>394</v>
      </c>
      <c r="B356" s="1">
        <v>45061</v>
      </c>
      <c r="C356" t="s">
        <v>66</v>
      </c>
      <c r="D356" t="s">
        <v>50</v>
      </c>
      <c r="E356" s="4">
        <v>5</v>
      </c>
      <c r="F356" s="4">
        <v>15000</v>
      </c>
      <c r="G356" s="4">
        <v>75000</v>
      </c>
      <c r="H356" t="s">
        <v>36</v>
      </c>
      <c r="I356" t="s">
        <v>25</v>
      </c>
      <c r="J356" t="s">
        <v>25</v>
      </c>
    </row>
    <row r="357" spans="1:10" x14ac:dyDescent="0.25">
      <c r="A357" t="s">
        <v>395</v>
      </c>
      <c r="B357" s="1">
        <v>45041</v>
      </c>
      <c r="C357" t="s">
        <v>75</v>
      </c>
      <c r="D357" t="s">
        <v>33</v>
      </c>
      <c r="E357" s="4">
        <v>4</v>
      </c>
      <c r="F357" s="4">
        <v>15000</v>
      </c>
      <c r="G357" s="4">
        <v>60000</v>
      </c>
      <c r="H357" t="s">
        <v>36</v>
      </c>
      <c r="I357" t="s">
        <v>25</v>
      </c>
      <c r="J357" t="s">
        <v>25</v>
      </c>
    </row>
    <row r="358" spans="1:10" x14ac:dyDescent="0.25">
      <c r="A358" t="s">
        <v>396</v>
      </c>
      <c r="B358" s="1">
        <v>45070</v>
      </c>
      <c r="C358" t="s">
        <v>23</v>
      </c>
      <c r="D358" t="s">
        <v>30</v>
      </c>
      <c r="E358" s="4">
        <v>2</v>
      </c>
      <c r="F358" s="4">
        <v>10000</v>
      </c>
      <c r="G358" s="4">
        <v>20000</v>
      </c>
      <c r="H358" t="s">
        <v>21</v>
      </c>
      <c r="I358" t="s">
        <v>18</v>
      </c>
      <c r="J358" t="s">
        <v>18</v>
      </c>
    </row>
    <row r="359" spans="1:10" x14ac:dyDescent="0.25">
      <c r="A359" t="s">
        <v>397</v>
      </c>
      <c r="B359" s="1">
        <v>45116</v>
      </c>
      <c r="C359" t="s">
        <v>16</v>
      </c>
      <c r="D359" t="s">
        <v>30</v>
      </c>
      <c r="E359" s="4">
        <v>5</v>
      </c>
      <c r="F359" s="4">
        <v>10000</v>
      </c>
      <c r="G359" s="4">
        <v>50000</v>
      </c>
      <c r="H359" t="s">
        <v>36</v>
      </c>
      <c r="I359" t="s">
        <v>27</v>
      </c>
      <c r="J359" t="s">
        <v>27</v>
      </c>
    </row>
    <row r="360" spans="1:10" x14ac:dyDescent="0.25">
      <c r="A360" t="s">
        <v>398</v>
      </c>
      <c r="B360" s="1">
        <v>45220</v>
      </c>
      <c r="C360" t="s">
        <v>68</v>
      </c>
      <c r="D360" t="s">
        <v>20</v>
      </c>
      <c r="E360" s="4">
        <v>1</v>
      </c>
      <c r="F360" s="4">
        <v>10000</v>
      </c>
      <c r="G360" s="4">
        <v>10000</v>
      </c>
      <c r="H360" t="s">
        <v>13</v>
      </c>
      <c r="I360" t="s">
        <v>27</v>
      </c>
      <c r="J360" t="s">
        <v>18</v>
      </c>
    </row>
    <row r="361" spans="1:10" x14ac:dyDescent="0.25">
      <c r="A361" t="s">
        <v>399</v>
      </c>
      <c r="B361" s="1">
        <v>45072</v>
      </c>
      <c r="C361" t="s">
        <v>11</v>
      </c>
      <c r="D361" t="s">
        <v>12</v>
      </c>
      <c r="E361" s="4">
        <v>2</v>
      </c>
      <c r="F361" s="4">
        <v>20000</v>
      </c>
      <c r="G361" s="4">
        <v>40000</v>
      </c>
      <c r="H361" t="s">
        <v>36</v>
      </c>
      <c r="I361" t="s">
        <v>25</v>
      </c>
      <c r="J361" t="s">
        <v>25</v>
      </c>
    </row>
    <row r="362" spans="1:10" x14ac:dyDescent="0.25">
      <c r="A362" t="s">
        <v>400</v>
      </c>
      <c r="B362" s="1">
        <v>45246</v>
      </c>
      <c r="C362" t="s">
        <v>75</v>
      </c>
      <c r="D362" t="s">
        <v>33</v>
      </c>
      <c r="E362" s="4">
        <v>3</v>
      </c>
      <c r="F362" s="4">
        <v>10000</v>
      </c>
      <c r="G362" s="4">
        <v>30000</v>
      </c>
      <c r="H362" t="s">
        <v>21</v>
      </c>
      <c r="I362" t="s">
        <v>25</v>
      </c>
      <c r="J362" t="s">
        <v>25</v>
      </c>
    </row>
    <row r="363" spans="1:10" x14ac:dyDescent="0.25">
      <c r="A363" t="s">
        <v>401</v>
      </c>
      <c r="B363" s="1">
        <v>45116</v>
      </c>
      <c r="C363" t="s">
        <v>75</v>
      </c>
      <c r="D363" t="s">
        <v>24</v>
      </c>
      <c r="E363" s="4">
        <v>2</v>
      </c>
      <c r="F363" s="4">
        <v>15000</v>
      </c>
      <c r="G363" s="4">
        <v>30000</v>
      </c>
      <c r="H363" t="s">
        <v>13</v>
      </c>
      <c r="I363" t="s">
        <v>25</v>
      </c>
      <c r="J363" t="s">
        <v>25</v>
      </c>
    </row>
    <row r="364" spans="1:10" x14ac:dyDescent="0.25">
      <c r="A364" t="s">
        <v>402</v>
      </c>
      <c r="B364" s="1">
        <v>45264</v>
      </c>
      <c r="C364" t="s">
        <v>68</v>
      </c>
      <c r="D364" t="s">
        <v>20</v>
      </c>
      <c r="E364" s="4">
        <v>5</v>
      </c>
      <c r="F364" s="4">
        <v>15000</v>
      </c>
      <c r="G364" s="4">
        <v>75000</v>
      </c>
      <c r="H364" t="s">
        <v>36</v>
      </c>
      <c r="I364" t="s">
        <v>18</v>
      </c>
      <c r="J364" t="s">
        <v>18</v>
      </c>
    </row>
    <row r="365" spans="1:10" x14ac:dyDescent="0.25">
      <c r="A365" t="s">
        <v>403</v>
      </c>
      <c r="B365" s="1">
        <v>45122</v>
      </c>
      <c r="C365" t="s">
        <v>11</v>
      </c>
      <c r="D365" t="s">
        <v>44</v>
      </c>
      <c r="E365" s="4">
        <v>5</v>
      </c>
      <c r="F365" s="4">
        <v>12500</v>
      </c>
      <c r="G365" s="4">
        <v>62500</v>
      </c>
      <c r="H365" t="s">
        <v>17</v>
      </c>
      <c r="I365" t="s">
        <v>25</v>
      </c>
      <c r="J365" t="s">
        <v>25</v>
      </c>
    </row>
    <row r="366" spans="1:10" x14ac:dyDescent="0.25">
      <c r="A366" t="s">
        <v>404</v>
      </c>
      <c r="B366" s="1">
        <v>45205</v>
      </c>
      <c r="C366" t="s">
        <v>42</v>
      </c>
      <c r="D366" t="s">
        <v>38</v>
      </c>
      <c r="E366" s="4">
        <v>3</v>
      </c>
      <c r="F366" s="4">
        <v>10000</v>
      </c>
      <c r="G366" s="4">
        <v>30000</v>
      </c>
      <c r="H366" t="s">
        <v>17</v>
      </c>
      <c r="I366" t="s">
        <v>18</v>
      </c>
      <c r="J366" t="s">
        <v>18</v>
      </c>
    </row>
    <row r="367" spans="1:10" x14ac:dyDescent="0.25">
      <c r="A367" t="s">
        <v>405</v>
      </c>
      <c r="B367" s="1">
        <v>45006</v>
      </c>
      <c r="C367" t="s">
        <v>68</v>
      </c>
      <c r="D367" t="s">
        <v>24</v>
      </c>
      <c r="E367" s="4">
        <v>3</v>
      </c>
      <c r="F367" s="4">
        <v>15000</v>
      </c>
      <c r="G367" s="4">
        <v>45000</v>
      </c>
      <c r="H367" t="s">
        <v>21</v>
      </c>
      <c r="I367" t="s">
        <v>18</v>
      </c>
      <c r="J367" t="s">
        <v>18</v>
      </c>
    </row>
    <row r="368" spans="1:10" x14ac:dyDescent="0.25">
      <c r="A368" t="s">
        <v>406</v>
      </c>
      <c r="B368" s="1">
        <v>45209</v>
      </c>
      <c r="C368" t="s">
        <v>35</v>
      </c>
      <c r="D368" t="s">
        <v>33</v>
      </c>
      <c r="E368" s="4">
        <v>4</v>
      </c>
      <c r="F368" s="4">
        <v>10000</v>
      </c>
      <c r="G368" s="4">
        <v>40000</v>
      </c>
      <c r="H368" t="s">
        <v>36</v>
      </c>
      <c r="I368" t="s">
        <v>62</v>
      </c>
      <c r="J368" t="s">
        <v>62</v>
      </c>
    </row>
    <row r="369" spans="1:10" x14ac:dyDescent="0.25">
      <c r="A369" t="s">
        <v>407</v>
      </c>
      <c r="B369" s="1">
        <v>44987</v>
      </c>
      <c r="C369" t="s">
        <v>16</v>
      </c>
      <c r="D369" t="s">
        <v>30</v>
      </c>
      <c r="E369" s="4">
        <v>4</v>
      </c>
      <c r="F369" s="4">
        <v>12500</v>
      </c>
      <c r="G369" s="4">
        <v>50000</v>
      </c>
      <c r="H369" t="s">
        <v>13</v>
      </c>
      <c r="I369" t="s">
        <v>27</v>
      </c>
      <c r="J369" t="s">
        <v>27</v>
      </c>
    </row>
    <row r="370" spans="1:10" x14ac:dyDescent="0.25">
      <c r="A370" t="s">
        <v>408</v>
      </c>
      <c r="B370" s="1">
        <v>45116</v>
      </c>
      <c r="C370" t="s">
        <v>55</v>
      </c>
      <c r="D370" t="s">
        <v>20</v>
      </c>
      <c r="E370" s="4">
        <v>4</v>
      </c>
      <c r="F370" s="4">
        <v>10000</v>
      </c>
      <c r="G370" s="4">
        <v>40000</v>
      </c>
      <c r="H370" t="s">
        <v>17</v>
      </c>
      <c r="I370" t="s">
        <v>14</v>
      </c>
      <c r="J370" t="s">
        <v>14</v>
      </c>
    </row>
    <row r="371" spans="1:10" x14ac:dyDescent="0.25">
      <c r="A371" t="s">
        <v>409</v>
      </c>
      <c r="B371" s="1">
        <v>44946</v>
      </c>
      <c r="C371" t="s">
        <v>32</v>
      </c>
      <c r="D371" t="s">
        <v>38</v>
      </c>
      <c r="E371" s="4">
        <v>4</v>
      </c>
      <c r="F371" s="4">
        <v>15000</v>
      </c>
      <c r="G371" s="4">
        <v>60000</v>
      </c>
      <c r="H371" t="s">
        <v>21</v>
      </c>
      <c r="I371" t="s">
        <v>18</v>
      </c>
      <c r="J371" t="s">
        <v>18</v>
      </c>
    </row>
    <row r="372" spans="1:10" x14ac:dyDescent="0.25">
      <c r="A372" t="s">
        <v>410</v>
      </c>
      <c r="B372" s="1">
        <v>45116</v>
      </c>
      <c r="C372" t="s">
        <v>11</v>
      </c>
      <c r="D372" t="s">
        <v>33</v>
      </c>
      <c r="E372" s="4">
        <v>3</v>
      </c>
      <c r="F372" s="4">
        <v>10000</v>
      </c>
      <c r="G372" s="4">
        <v>30000</v>
      </c>
      <c r="H372" t="s">
        <v>13</v>
      </c>
      <c r="I372" t="s">
        <v>18</v>
      </c>
      <c r="J372" t="s">
        <v>18</v>
      </c>
    </row>
    <row r="373" spans="1:10" x14ac:dyDescent="0.25">
      <c r="A373" t="s">
        <v>411</v>
      </c>
      <c r="B373" s="1">
        <v>45068</v>
      </c>
      <c r="C373" t="s">
        <v>16</v>
      </c>
      <c r="D373" t="s">
        <v>38</v>
      </c>
      <c r="E373" s="4">
        <v>3</v>
      </c>
      <c r="F373" s="4">
        <v>10000</v>
      </c>
      <c r="G373" s="4">
        <v>30000</v>
      </c>
      <c r="H373" t="s">
        <v>36</v>
      </c>
      <c r="I373" t="s">
        <v>18</v>
      </c>
      <c r="J373" t="s">
        <v>18</v>
      </c>
    </row>
    <row r="374" spans="1:10" x14ac:dyDescent="0.25">
      <c r="A374" t="s">
        <v>412</v>
      </c>
      <c r="B374" s="1">
        <v>45213</v>
      </c>
      <c r="C374" t="s">
        <v>16</v>
      </c>
      <c r="D374" t="s">
        <v>50</v>
      </c>
      <c r="E374" s="4">
        <v>3</v>
      </c>
      <c r="F374" s="4">
        <v>15000</v>
      </c>
      <c r="G374" s="4">
        <v>45000</v>
      </c>
      <c r="H374" t="s">
        <v>13</v>
      </c>
      <c r="I374" t="s">
        <v>27</v>
      </c>
      <c r="J374" t="s">
        <v>18</v>
      </c>
    </row>
    <row r="375" spans="1:10" x14ac:dyDescent="0.25">
      <c r="A375" t="s">
        <v>413</v>
      </c>
      <c r="B375" s="1">
        <v>45213</v>
      </c>
      <c r="C375" t="s">
        <v>35</v>
      </c>
      <c r="D375" t="s">
        <v>12</v>
      </c>
      <c r="E375" s="4">
        <v>5</v>
      </c>
      <c r="F375" s="4">
        <v>15000</v>
      </c>
      <c r="G375" s="4">
        <v>75000</v>
      </c>
      <c r="H375" t="s">
        <v>17</v>
      </c>
      <c r="I375" t="s">
        <v>18</v>
      </c>
      <c r="J375" t="s">
        <v>18</v>
      </c>
    </row>
    <row r="376" spans="1:10" x14ac:dyDescent="0.25">
      <c r="A376" t="s">
        <v>414</v>
      </c>
      <c r="B376" s="1">
        <v>45215</v>
      </c>
      <c r="C376" t="s">
        <v>75</v>
      </c>
      <c r="D376" t="s">
        <v>24</v>
      </c>
      <c r="E376" s="4">
        <v>2</v>
      </c>
      <c r="F376" s="4">
        <v>12500</v>
      </c>
      <c r="G376" s="4">
        <v>25000</v>
      </c>
      <c r="H376" t="s">
        <v>36</v>
      </c>
      <c r="I376" t="s">
        <v>25</v>
      </c>
      <c r="J376" t="s">
        <v>25</v>
      </c>
    </row>
    <row r="377" spans="1:10" x14ac:dyDescent="0.25">
      <c r="A377" t="s">
        <v>415</v>
      </c>
      <c r="B377" s="1">
        <v>45039</v>
      </c>
      <c r="C377" t="s">
        <v>16</v>
      </c>
      <c r="D377" t="s">
        <v>30</v>
      </c>
      <c r="E377" s="4">
        <v>3</v>
      </c>
      <c r="F377" s="4">
        <v>20000</v>
      </c>
      <c r="G377" s="4">
        <v>60000</v>
      </c>
      <c r="H377" t="s">
        <v>17</v>
      </c>
      <c r="I377" t="s">
        <v>62</v>
      </c>
      <c r="J377" t="s">
        <v>62</v>
      </c>
    </row>
    <row r="378" spans="1:10" x14ac:dyDescent="0.25">
      <c r="A378" t="s">
        <v>416</v>
      </c>
      <c r="B378" s="1">
        <v>45018</v>
      </c>
      <c r="C378" t="s">
        <v>29</v>
      </c>
      <c r="D378" t="s">
        <v>24</v>
      </c>
      <c r="E378" s="4">
        <v>3</v>
      </c>
      <c r="F378" s="4">
        <v>15000</v>
      </c>
      <c r="G378" s="4">
        <v>45000</v>
      </c>
      <c r="H378" t="s">
        <v>21</v>
      </c>
      <c r="I378" t="s">
        <v>14</v>
      </c>
      <c r="J378" t="s">
        <v>14</v>
      </c>
    </row>
    <row r="379" spans="1:10" x14ac:dyDescent="0.25">
      <c r="A379" t="s">
        <v>417</v>
      </c>
      <c r="B379" s="1">
        <v>45116</v>
      </c>
      <c r="C379" t="s">
        <v>23</v>
      </c>
      <c r="D379" t="s">
        <v>30</v>
      </c>
      <c r="E379" s="4">
        <v>2</v>
      </c>
      <c r="F379" s="4">
        <v>10000</v>
      </c>
      <c r="G379" s="4">
        <v>20000</v>
      </c>
      <c r="H379" t="s">
        <v>21</v>
      </c>
      <c r="I379" t="s">
        <v>14</v>
      </c>
      <c r="J379" t="s">
        <v>14</v>
      </c>
    </row>
    <row r="380" spans="1:10" x14ac:dyDescent="0.25">
      <c r="A380" t="s">
        <v>418</v>
      </c>
      <c r="B380" s="1">
        <v>45204</v>
      </c>
      <c r="C380" t="s">
        <v>75</v>
      </c>
      <c r="D380" t="s">
        <v>48</v>
      </c>
      <c r="E380" s="4">
        <v>4</v>
      </c>
      <c r="F380" s="4">
        <v>15000</v>
      </c>
      <c r="G380" s="4">
        <v>60000</v>
      </c>
      <c r="H380" t="s">
        <v>21</v>
      </c>
      <c r="I380" t="s">
        <v>25</v>
      </c>
      <c r="J380" t="s">
        <v>25</v>
      </c>
    </row>
    <row r="381" spans="1:10" x14ac:dyDescent="0.25">
      <c r="A381" t="s">
        <v>419</v>
      </c>
      <c r="B381" s="1">
        <v>45040</v>
      </c>
      <c r="C381" t="s">
        <v>42</v>
      </c>
      <c r="D381" t="s">
        <v>50</v>
      </c>
      <c r="E381" s="4">
        <v>2</v>
      </c>
      <c r="F381" s="4">
        <v>5000</v>
      </c>
      <c r="G381" s="4">
        <v>10000</v>
      </c>
      <c r="H381" t="s">
        <v>36</v>
      </c>
      <c r="I381" t="s">
        <v>25</v>
      </c>
      <c r="J381" t="s">
        <v>25</v>
      </c>
    </row>
    <row r="382" spans="1:10" x14ac:dyDescent="0.25">
      <c r="A382" t="s">
        <v>420</v>
      </c>
      <c r="B382" s="1">
        <v>44988</v>
      </c>
      <c r="C382" t="s">
        <v>29</v>
      </c>
      <c r="D382" t="s">
        <v>33</v>
      </c>
      <c r="E382" s="4">
        <v>4</v>
      </c>
      <c r="F382" s="4">
        <v>15000</v>
      </c>
      <c r="G382" s="4">
        <v>60000</v>
      </c>
      <c r="H382" t="s">
        <v>17</v>
      </c>
      <c r="I382" t="s">
        <v>27</v>
      </c>
      <c r="J382" t="s">
        <v>27</v>
      </c>
    </row>
    <row r="383" spans="1:10" x14ac:dyDescent="0.25">
      <c r="A383" t="s">
        <v>421</v>
      </c>
      <c r="B383" s="1">
        <v>45207</v>
      </c>
      <c r="C383" t="s">
        <v>11</v>
      </c>
      <c r="D383" t="s">
        <v>24</v>
      </c>
      <c r="E383" s="4">
        <v>2</v>
      </c>
      <c r="F383" s="4">
        <v>15000</v>
      </c>
      <c r="G383" s="4">
        <v>30000</v>
      </c>
      <c r="H383" t="s">
        <v>21</v>
      </c>
      <c r="I383" t="s">
        <v>62</v>
      </c>
      <c r="J383" t="s">
        <v>62</v>
      </c>
    </row>
    <row r="384" spans="1:10" x14ac:dyDescent="0.25">
      <c r="A384" t="s">
        <v>422</v>
      </c>
      <c r="B384" s="1">
        <v>45070</v>
      </c>
      <c r="C384" t="s">
        <v>35</v>
      </c>
      <c r="D384" t="s">
        <v>24</v>
      </c>
      <c r="E384" s="4">
        <v>2</v>
      </c>
      <c r="F384" s="4">
        <v>15000</v>
      </c>
      <c r="G384" s="4">
        <v>30000</v>
      </c>
      <c r="H384" t="s">
        <v>13</v>
      </c>
      <c r="I384" t="s">
        <v>27</v>
      </c>
      <c r="J384" t="s">
        <v>27</v>
      </c>
    </row>
    <row r="385" spans="1:10" x14ac:dyDescent="0.25">
      <c r="A385" t="s">
        <v>423</v>
      </c>
      <c r="B385" s="1">
        <v>45003</v>
      </c>
      <c r="C385" t="s">
        <v>29</v>
      </c>
      <c r="D385" t="s">
        <v>24</v>
      </c>
      <c r="E385" s="4">
        <v>1</v>
      </c>
      <c r="F385" s="4">
        <v>10000</v>
      </c>
      <c r="G385" s="4">
        <v>10000</v>
      </c>
      <c r="H385" t="s">
        <v>36</v>
      </c>
      <c r="I385" t="s">
        <v>14</v>
      </c>
      <c r="J385" t="s">
        <v>14</v>
      </c>
    </row>
    <row r="386" spans="1:10" x14ac:dyDescent="0.25">
      <c r="A386" t="s">
        <v>424</v>
      </c>
      <c r="B386" s="1">
        <v>45217</v>
      </c>
      <c r="C386" t="s">
        <v>16</v>
      </c>
      <c r="D386" t="s">
        <v>48</v>
      </c>
      <c r="E386" s="4">
        <v>4</v>
      </c>
      <c r="F386" s="4">
        <v>5000</v>
      </c>
      <c r="G386" s="4">
        <v>20000</v>
      </c>
      <c r="H386" t="s">
        <v>13</v>
      </c>
      <c r="I386" t="s">
        <v>27</v>
      </c>
      <c r="J386" t="s">
        <v>27</v>
      </c>
    </row>
    <row r="387" spans="1:10" x14ac:dyDescent="0.25">
      <c r="A387" t="s">
        <v>425</v>
      </c>
      <c r="B387" s="1">
        <v>45111</v>
      </c>
      <c r="C387" t="s">
        <v>68</v>
      </c>
      <c r="D387" t="s">
        <v>44</v>
      </c>
      <c r="E387" s="4">
        <v>5</v>
      </c>
      <c r="F387" s="4">
        <v>15000</v>
      </c>
      <c r="G387" s="4">
        <v>75000</v>
      </c>
      <c r="H387" t="s">
        <v>21</v>
      </c>
      <c r="I387" t="s">
        <v>27</v>
      </c>
      <c r="J387" t="s">
        <v>27</v>
      </c>
    </row>
    <row r="388" spans="1:10" x14ac:dyDescent="0.25">
      <c r="A388" t="s">
        <v>426</v>
      </c>
      <c r="B388" s="1">
        <v>45259</v>
      </c>
      <c r="C388" t="s">
        <v>29</v>
      </c>
      <c r="D388" t="s">
        <v>33</v>
      </c>
      <c r="E388" s="4">
        <v>2</v>
      </c>
      <c r="F388" s="4">
        <v>12500</v>
      </c>
      <c r="G388" s="4">
        <v>25000</v>
      </c>
      <c r="H388" t="s">
        <v>21</v>
      </c>
      <c r="I388" t="s">
        <v>62</v>
      </c>
      <c r="J388" t="s">
        <v>62</v>
      </c>
    </row>
    <row r="389" spans="1:10" x14ac:dyDescent="0.25">
      <c r="A389" t="s">
        <v>427</v>
      </c>
      <c r="B389" s="1">
        <v>45164</v>
      </c>
      <c r="C389" t="s">
        <v>75</v>
      </c>
      <c r="D389" t="s">
        <v>20</v>
      </c>
      <c r="E389" s="4">
        <v>2</v>
      </c>
      <c r="F389" s="4">
        <v>10000</v>
      </c>
      <c r="G389" s="4">
        <v>20000</v>
      </c>
      <c r="H389" t="s">
        <v>36</v>
      </c>
      <c r="I389" t="s">
        <v>18</v>
      </c>
      <c r="J389" t="s">
        <v>18</v>
      </c>
    </row>
    <row r="390" spans="1:10" x14ac:dyDescent="0.25">
      <c r="A390" t="s">
        <v>428</v>
      </c>
      <c r="B390" s="1">
        <v>45261</v>
      </c>
      <c r="C390" t="s">
        <v>55</v>
      </c>
      <c r="D390" t="s">
        <v>60</v>
      </c>
      <c r="E390" s="4">
        <v>3</v>
      </c>
      <c r="F390" s="4">
        <v>15000</v>
      </c>
      <c r="G390" s="4">
        <v>45000</v>
      </c>
      <c r="H390" t="s">
        <v>36</v>
      </c>
      <c r="I390" t="s">
        <v>62</v>
      </c>
      <c r="J390" t="s">
        <v>62</v>
      </c>
    </row>
    <row r="391" spans="1:10" x14ac:dyDescent="0.25">
      <c r="A391" t="s">
        <v>429</v>
      </c>
      <c r="B391" s="1">
        <v>45012</v>
      </c>
      <c r="C391" t="s">
        <v>23</v>
      </c>
      <c r="D391" t="s">
        <v>20</v>
      </c>
      <c r="E391" s="4">
        <v>1</v>
      </c>
      <c r="F391" s="4">
        <v>10000</v>
      </c>
      <c r="G391" s="4">
        <v>10000</v>
      </c>
      <c r="H391" t="s">
        <v>13</v>
      </c>
      <c r="I391" t="s">
        <v>62</v>
      </c>
      <c r="J391" t="s">
        <v>62</v>
      </c>
    </row>
    <row r="392" spans="1:10" x14ac:dyDescent="0.25">
      <c r="A392" t="s">
        <v>430</v>
      </c>
      <c r="B392" s="1">
        <v>44954</v>
      </c>
      <c r="C392" t="s">
        <v>75</v>
      </c>
      <c r="D392" t="s">
        <v>48</v>
      </c>
      <c r="E392" s="4">
        <v>4</v>
      </c>
      <c r="F392" s="4">
        <v>15000</v>
      </c>
      <c r="G392" s="4">
        <v>60000</v>
      </c>
      <c r="H392" t="s">
        <v>17</v>
      </c>
      <c r="I392" t="s">
        <v>62</v>
      </c>
      <c r="J392" t="s">
        <v>62</v>
      </c>
    </row>
    <row r="393" spans="1:10" x14ac:dyDescent="0.25">
      <c r="A393" t="s">
        <v>431</v>
      </c>
      <c r="B393" s="1">
        <v>45072</v>
      </c>
      <c r="C393" t="s">
        <v>32</v>
      </c>
      <c r="D393" t="s">
        <v>24</v>
      </c>
      <c r="E393" s="4">
        <v>3</v>
      </c>
      <c r="F393" s="4">
        <v>10000</v>
      </c>
      <c r="G393" s="4">
        <v>30000</v>
      </c>
      <c r="H393" t="s">
        <v>13</v>
      </c>
      <c r="I393" t="s">
        <v>27</v>
      </c>
      <c r="J393" t="s">
        <v>27</v>
      </c>
    </row>
    <row r="394" spans="1:10" x14ac:dyDescent="0.25">
      <c r="A394" t="s">
        <v>432</v>
      </c>
      <c r="B394" s="1">
        <v>45203</v>
      </c>
      <c r="C394" t="s">
        <v>75</v>
      </c>
      <c r="D394" t="s">
        <v>60</v>
      </c>
      <c r="E394" s="4">
        <v>5</v>
      </c>
      <c r="F394" s="4">
        <v>20000</v>
      </c>
      <c r="G394" s="4">
        <v>100000</v>
      </c>
      <c r="H394" t="s">
        <v>13</v>
      </c>
      <c r="I394" t="s">
        <v>18</v>
      </c>
      <c r="J394" t="s">
        <v>18</v>
      </c>
    </row>
    <row r="395" spans="1:10" x14ac:dyDescent="0.25">
      <c r="A395" t="s">
        <v>433</v>
      </c>
      <c r="B395" s="1">
        <v>44996</v>
      </c>
      <c r="C395" t="s">
        <v>55</v>
      </c>
      <c r="D395" t="s">
        <v>44</v>
      </c>
      <c r="E395" s="4">
        <v>3</v>
      </c>
      <c r="F395" s="4">
        <v>20000</v>
      </c>
      <c r="G395" s="4">
        <v>60000</v>
      </c>
      <c r="H395" t="s">
        <v>17</v>
      </c>
      <c r="I395" t="s">
        <v>25</v>
      </c>
      <c r="J395" t="s">
        <v>25</v>
      </c>
    </row>
    <row r="396" spans="1:10" x14ac:dyDescent="0.25">
      <c r="A396" t="s">
        <v>434</v>
      </c>
      <c r="B396" s="1">
        <v>45207</v>
      </c>
      <c r="C396" t="s">
        <v>16</v>
      </c>
      <c r="D396" t="s">
        <v>44</v>
      </c>
      <c r="E396" s="4">
        <v>2</v>
      </c>
      <c r="F396" s="4">
        <v>20000</v>
      </c>
      <c r="G396" s="4">
        <v>40000</v>
      </c>
      <c r="H396" t="s">
        <v>36</v>
      </c>
      <c r="I396" t="s">
        <v>25</v>
      </c>
      <c r="J396" t="s">
        <v>25</v>
      </c>
    </row>
    <row r="397" spans="1:10" x14ac:dyDescent="0.25">
      <c r="A397" t="s">
        <v>435</v>
      </c>
      <c r="B397" s="1">
        <v>45143</v>
      </c>
      <c r="C397" t="s">
        <v>29</v>
      </c>
      <c r="D397" t="s">
        <v>30</v>
      </c>
      <c r="E397" s="4">
        <v>5</v>
      </c>
      <c r="F397" s="4">
        <v>12500</v>
      </c>
      <c r="G397" s="4">
        <v>62500</v>
      </c>
      <c r="H397" t="s">
        <v>21</v>
      </c>
      <c r="I397" t="s">
        <v>62</v>
      </c>
      <c r="J397" t="s">
        <v>62</v>
      </c>
    </row>
    <row r="398" spans="1:10" x14ac:dyDescent="0.25">
      <c r="A398" t="s">
        <v>436</v>
      </c>
      <c r="B398" s="1">
        <v>45116</v>
      </c>
      <c r="C398" t="s">
        <v>75</v>
      </c>
      <c r="D398" t="s">
        <v>12</v>
      </c>
      <c r="E398" s="4">
        <v>3</v>
      </c>
      <c r="F398" s="4">
        <v>20000</v>
      </c>
      <c r="G398" s="4">
        <v>60000</v>
      </c>
      <c r="H398" t="s">
        <v>36</v>
      </c>
      <c r="I398" t="s">
        <v>62</v>
      </c>
      <c r="J398" t="s">
        <v>62</v>
      </c>
    </row>
    <row r="399" spans="1:10" x14ac:dyDescent="0.25">
      <c r="A399" t="s">
        <v>437</v>
      </c>
      <c r="B399" s="1">
        <v>44979</v>
      </c>
      <c r="C399" t="s">
        <v>16</v>
      </c>
      <c r="D399" t="s">
        <v>60</v>
      </c>
      <c r="E399" s="4">
        <v>3</v>
      </c>
      <c r="F399" s="4">
        <v>10000</v>
      </c>
      <c r="G399" s="4">
        <v>30000</v>
      </c>
      <c r="H399" t="s">
        <v>36</v>
      </c>
      <c r="I399" t="s">
        <v>27</v>
      </c>
      <c r="J399" t="s">
        <v>27</v>
      </c>
    </row>
    <row r="400" spans="1:10" x14ac:dyDescent="0.25">
      <c r="A400" t="s">
        <v>438</v>
      </c>
      <c r="B400" s="1">
        <v>45117</v>
      </c>
      <c r="C400" t="s">
        <v>11</v>
      </c>
      <c r="D400" t="s">
        <v>24</v>
      </c>
      <c r="E400" s="4">
        <v>3</v>
      </c>
      <c r="F400" s="4">
        <v>12500</v>
      </c>
      <c r="G400" s="4">
        <v>37500</v>
      </c>
      <c r="H400" t="s">
        <v>21</v>
      </c>
      <c r="I400" t="s">
        <v>27</v>
      </c>
      <c r="J400" t="s">
        <v>27</v>
      </c>
    </row>
    <row r="401" spans="1:10" x14ac:dyDescent="0.25">
      <c r="A401" t="s">
        <v>439</v>
      </c>
      <c r="B401" s="1">
        <v>45116</v>
      </c>
      <c r="C401" t="s">
        <v>55</v>
      </c>
      <c r="D401" t="s">
        <v>38</v>
      </c>
      <c r="E401" s="4">
        <v>1</v>
      </c>
      <c r="F401" s="4">
        <v>5000</v>
      </c>
      <c r="G401" s="4">
        <v>5000</v>
      </c>
      <c r="H401" t="s">
        <v>13</v>
      </c>
      <c r="I401" t="s">
        <v>25</v>
      </c>
      <c r="J401" t="s">
        <v>25</v>
      </c>
    </row>
    <row r="402" spans="1:10" x14ac:dyDescent="0.25">
      <c r="A402" t="s">
        <v>440</v>
      </c>
      <c r="B402" s="1">
        <v>45267</v>
      </c>
      <c r="C402" t="s">
        <v>11</v>
      </c>
      <c r="D402" t="s">
        <v>30</v>
      </c>
      <c r="E402" s="4">
        <v>4</v>
      </c>
      <c r="F402" s="4">
        <v>20000</v>
      </c>
      <c r="G402" s="4">
        <v>80000</v>
      </c>
      <c r="H402" t="s">
        <v>21</v>
      </c>
      <c r="I402" t="s">
        <v>62</v>
      </c>
      <c r="J402" t="s">
        <v>62</v>
      </c>
    </row>
    <row r="403" spans="1:10" x14ac:dyDescent="0.25">
      <c r="A403" t="s">
        <v>441</v>
      </c>
      <c r="B403" s="1">
        <v>45116</v>
      </c>
      <c r="C403" t="s">
        <v>32</v>
      </c>
      <c r="D403" t="s">
        <v>30</v>
      </c>
      <c r="E403" s="4">
        <v>1</v>
      </c>
      <c r="F403" s="4">
        <v>10000</v>
      </c>
      <c r="G403" s="4">
        <v>10000</v>
      </c>
      <c r="H403" t="s">
        <v>36</v>
      </c>
      <c r="I403" t="s">
        <v>62</v>
      </c>
      <c r="J403" t="s">
        <v>62</v>
      </c>
    </row>
    <row r="404" spans="1:10" x14ac:dyDescent="0.25">
      <c r="A404" t="s">
        <v>442</v>
      </c>
      <c r="B404" s="1">
        <v>44948</v>
      </c>
      <c r="C404" t="s">
        <v>23</v>
      </c>
      <c r="D404" t="s">
        <v>50</v>
      </c>
      <c r="E404" s="4">
        <v>3</v>
      </c>
      <c r="F404" s="4">
        <v>20000</v>
      </c>
      <c r="G404" s="4">
        <v>60000</v>
      </c>
      <c r="H404" t="s">
        <v>13</v>
      </c>
      <c r="I404" t="s">
        <v>62</v>
      </c>
      <c r="J404" t="s">
        <v>62</v>
      </c>
    </row>
    <row r="405" spans="1:10" x14ac:dyDescent="0.25">
      <c r="A405" t="s">
        <v>443</v>
      </c>
      <c r="B405" s="1">
        <v>45247</v>
      </c>
      <c r="C405" t="s">
        <v>23</v>
      </c>
      <c r="D405" t="s">
        <v>48</v>
      </c>
      <c r="E405" s="4">
        <v>1</v>
      </c>
      <c r="F405" s="4">
        <v>15000</v>
      </c>
      <c r="G405" s="4">
        <v>15000</v>
      </c>
      <c r="H405" t="s">
        <v>13</v>
      </c>
      <c r="I405" t="s">
        <v>18</v>
      </c>
      <c r="J405" t="s">
        <v>18</v>
      </c>
    </row>
    <row r="406" spans="1:10" x14ac:dyDescent="0.25">
      <c r="A406" t="s">
        <v>444</v>
      </c>
      <c r="B406" s="1">
        <v>45151</v>
      </c>
      <c r="C406" t="s">
        <v>35</v>
      </c>
      <c r="D406" t="s">
        <v>30</v>
      </c>
      <c r="E406" s="4">
        <v>1</v>
      </c>
      <c r="F406" s="4">
        <v>10000</v>
      </c>
      <c r="G406" s="4">
        <v>10000</v>
      </c>
      <c r="H406" t="s">
        <v>21</v>
      </c>
      <c r="I406" t="s">
        <v>14</v>
      </c>
      <c r="J406" t="s">
        <v>14</v>
      </c>
    </row>
    <row r="407" spans="1:10" x14ac:dyDescent="0.25">
      <c r="A407" t="s">
        <v>445</v>
      </c>
      <c r="B407" s="1">
        <v>45024</v>
      </c>
      <c r="C407" t="s">
        <v>35</v>
      </c>
      <c r="D407" t="s">
        <v>50</v>
      </c>
      <c r="E407" s="4">
        <v>2</v>
      </c>
      <c r="F407" s="4">
        <v>15000</v>
      </c>
      <c r="G407" s="4">
        <v>30000</v>
      </c>
      <c r="H407" t="s">
        <v>21</v>
      </c>
      <c r="I407" t="s">
        <v>25</v>
      </c>
      <c r="J407" t="s">
        <v>25</v>
      </c>
    </row>
    <row r="408" spans="1:10" x14ac:dyDescent="0.25">
      <c r="A408" t="s">
        <v>446</v>
      </c>
      <c r="B408" s="1">
        <v>45157</v>
      </c>
      <c r="C408" t="s">
        <v>29</v>
      </c>
      <c r="D408" t="s">
        <v>60</v>
      </c>
      <c r="E408" s="4">
        <v>3</v>
      </c>
      <c r="F408" s="4">
        <v>15000</v>
      </c>
      <c r="G408" s="4">
        <v>45000</v>
      </c>
      <c r="H408" t="s">
        <v>36</v>
      </c>
      <c r="I408" t="s">
        <v>27</v>
      </c>
      <c r="J408" t="s">
        <v>27</v>
      </c>
    </row>
    <row r="409" spans="1:10" x14ac:dyDescent="0.25">
      <c r="A409" t="s">
        <v>447</v>
      </c>
      <c r="B409" s="1">
        <v>45244</v>
      </c>
      <c r="C409" t="s">
        <v>42</v>
      </c>
      <c r="D409" t="s">
        <v>30</v>
      </c>
      <c r="E409" s="4">
        <v>3</v>
      </c>
      <c r="F409" s="4">
        <v>10000</v>
      </c>
      <c r="G409" s="4">
        <v>30000</v>
      </c>
      <c r="H409" t="s">
        <v>36</v>
      </c>
      <c r="I409" t="s">
        <v>14</v>
      </c>
      <c r="J409" t="s">
        <v>14</v>
      </c>
    </row>
    <row r="410" spans="1:10" x14ac:dyDescent="0.25">
      <c r="A410" t="s">
        <v>448</v>
      </c>
      <c r="B410" s="1">
        <v>45091</v>
      </c>
      <c r="C410" t="s">
        <v>11</v>
      </c>
      <c r="D410" t="s">
        <v>12</v>
      </c>
      <c r="E410" s="4">
        <v>1</v>
      </c>
      <c r="F410" s="4">
        <v>15000</v>
      </c>
      <c r="G410" s="4">
        <v>15000</v>
      </c>
      <c r="H410" t="s">
        <v>17</v>
      </c>
      <c r="I410" t="s">
        <v>27</v>
      </c>
      <c r="J410" t="s">
        <v>27</v>
      </c>
    </row>
    <row r="411" spans="1:10" x14ac:dyDescent="0.25">
      <c r="A411" t="s">
        <v>449</v>
      </c>
      <c r="B411" s="1">
        <v>45125</v>
      </c>
      <c r="C411" t="s">
        <v>66</v>
      </c>
      <c r="D411" t="s">
        <v>24</v>
      </c>
      <c r="E411" s="4">
        <v>5</v>
      </c>
      <c r="F411" s="4">
        <v>15000</v>
      </c>
      <c r="G411" s="4">
        <v>75000</v>
      </c>
      <c r="H411" t="s">
        <v>21</v>
      </c>
      <c r="I411" t="s">
        <v>27</v>
      </c>
      <c r="J411" t="s">
        <v>27</v>
      </c>
    </row>
    <row r="412" spans="1:10" x14ac:dyDescent="0.25">
      <c r="A412" t="s">
        <v>450</v>
      </c>
      <c r="B412" s="1">
        <v>44967</v>
      </c>
      <c r="C412" t="s">
        <v>32</v>
      </c>
      <c r="D412" t="s">
        <v>24</v>
      </c>
      <c r="E412" s="4">
        <v>3</v>
      </c>
      <c r="F412" s="4">
        <v>5000</v>
      </c>
      <c r="G412" s="4">
        <v>15000</v>
      </c>
      <c r="H412" t="s">
        <v>36</v>
      </c>
      <c r="I412" t="s">
        <v>27</v>
      </c>
      <c r="J412" t="s">
        <v>62</v>
      </c>
    </row>
    <row r="413" spans="1:10" x14ac:dyDescent="0.25">
      <c r="A413" t="s">
        <v>451</v>
      </c>
      <c r="B413" s="1">
        <v>45037</v>
      </c>
      <c r="C413" t="s">
        <v>68</v>
      </c>
      <c r="D413" t="s">
        <v>33</v>
      </c>
      <c r="E413" s="4">
        <v>1</v>
      </c>
      <c r="F413" s="4">
        <v>5000</v>
      </c>
      <c r="G413" s="4">
        <v>5000</v>
      </c>
      <c r="H413" t="s">
        <v>13</v>
      </c>
      <c r="I413" t="s">
        <v>18</v>
      </c>
      <c r="J413" t="s">
        <v>18</v>
      </c>
    </row>
    <row r="414" spans="1:10" x14ac:dyDescent="0.25">
      <c r="A414" t="s">
        <v>452</v>
      </c>
      <c r="B414" s="1">
        <v>45212</v>
      </c>
      <c r="C414" t="s">
        <v>29</v>
      </c>
      <c r="D414" t="s">
        <v>38</v>
      </c>
      <c r="E414" s="4">
        <v>3</v>
      </c>
      <c r="F414" s="4">
        <v>5000</v>
      </c>
      <c r="G414" s="4">
        <v>15000</v>
      </c>
      <c r="H414" t="s">
        <v>21</v>
      </c>
      <c r="I414" t="s">
        <v>25</v>
      </c>
      <c r="J414" t="s">
        <v>25</v>
      </c>
    </row>
    <row r="415" spans="1:10" x14ac:dyDescent="0.25">
      <c r="A415" t="s">
        <v>453</v>
      </c>
      <c r="B415" s="1">
        <v>45263</v>
      </c>
      <c r="C415" t="s">
        <v>42</v>
      </c>
      <c r="D415" t="s">
        <v>20</v>
      </c>
      <c r="E415" s="4">
        <v>5</v>
      </c>
      <c r="F415" s="4">
        <v>15000</v>
      </c>
      <c r="G415" s="4">
        <v>75000</v>
      </c>
      <c r="H415" t="s">
        <v>21</v>
      </c>
      <c r="I415" t="s">
        <v>62</v>
      </c>
      <c r="J415" t="s">
        <v>62</v>
      </c>
    </row>
    <row r="416" spans="1:10" x14ac:dyDescent="0.25">
      <c r="A416" t="s">
        <v>454</v>
      </c>
      <c r="B416" s="1">
        <v>45092</v>
      </c>
      <c r="C416" t="s">
        <v>42</v>
      </c>
      <c r="D416" t="s">
        <v>50</v>
      </c>
      <c r="E416" s="4">
        <v>2</v>
      </c>
      <c r="F416" s="4">
        <v>15000</v>
      </c>
      <c r="G416" s="4">
        <v>30000</v>
      </c>
      <c r="H416" t="s">
        <v>13</v>
      </c>
      <c r="I416" t="s">
        <v>25</v>
      </c>
      <c r="J416" t="s">
        <v>25</v>
      </c>
    </row>
    <row r="417" spans="1:10" x14ac:dyDescent="0.25">
      <c r="A417" t="s">
        <v>455</v>
      </c>
      <c r="B417" s="1">
        <v>44944</v>
      </c>
      <c r="C417" t="s">
        <v>32</v>
      </c>
      <c r="D417" t="s">
        <v>60</v>
      </c>
      <c r="E417" s="4">
        <v>5</v>
      </c>
      <c r="F417" s="4">
        <v>5000</v>
      </c>
      <c r="G417" s="4">
        <v>25000</v>
      </c>
      <c r="H417" t="s">
        <v>13</v>
      </c>
      <c r="I417" t="s">
        <v>62</v>
      </c>
      <c r="J417" t="s">
        <v>62</v>
      </c>
    </row>
    <row r="418" spans="1:10" x14ac:dyDescent="0.25">
      <c r="A418" t="s">
        <v>456</v>
      </c>
      <c r="B418" s="1">
        <v>45280</v>
      </c>
      <c r="C418" t="s">
        <v>32</v>
      </c>
      <c r="D418" t="s">
        <v>60</v>
      </c>
      <c r="E418" s="4">
        <v>5</v>
      </c>
      <c r="F418" s="4">
        <v>15000</v>
      </c>
      <c r="G418" s="4">
        <v>75000</v>
      </c>
      <c r="H418" t="s">
        <v>13</v>
      </c>
      <c r="I418" t="s">
        <v>27</v>
      </c>
      <c r="J418" t="s">
        <v>27</v>
      </c>
    </row>
    <row r="419" spans="1:10" x14ac:dyDescent="0.25">
      <c r="A419" t="s">
        <v>457</v>
      </c>
      <c r="B419" s="1">
        <v>45058</v>
      </c>
      <c r="C419" t="s">
        <v>66</v>
      </c>
      <c r="D419" t="s">
        <v>60</v>
      </c>
      <c r="E419" s="4">
        <v>1</v>
      </c>
      <c r="F419" s="4">
        <v>15000</v>
      </c>
      <c r="G419" s="4">
        <v>15000</v>
      </c>
      <c r="H419" t="s">
        <v>13</v>
      </c>
      <c r="I419" t="s">
        <v>27</v>
      </c>
      <c r="J419" t="s">
        <v>27</v>
      </c>
    </row>
    <row r="420" spans="1:10" x14ac:dyDescent="0.25">
      <c r="A420" t="s">
        <v>458</v>
      </c>
      <c r="B420" s="1">
        <v>44975</v>
      </c>
      <c r="C420" t="s">
        <v>32</v>
      </c>
      <c r="D420" t="s">
        <v>50</v>
      </c>
      <c r="E420" s="4">
        <v>3</v>
      </c>
      <c r="F420" s="4">
        <v>15000</v>
      </c>
      <c r="G420" s="4">
        <v>45000</v>
      </c>
      <c r="H420" t="s">
        <v>36</v>
      </c>
      <c r="I420" t="s">
        <v>27</v>
      </c>
      <c r="J420" t="s">
        <v>27</v>
      </c>
    </row>
    <row r="421" spans="1:10" x14ac:dyDescent="0.25">
      <c r="A421" t="s">
        <v>459</v>
      </c>
      <c r="B421" s="1">
        <v>44988</v>
      </c>
      <c r="C421" t="s">
        <v>32</v>
      </c>
      <c r="D421" t="s">
        <v>30</v>
      </c>
      <c r="E421" s="4">
        <v>3</v>
      </c>
      <c r="F421" s="4">
        <v>10000</v>
      </c>
      <c r="G421" s="4">
        <v>30000</v>
      </c>
      <c r="H421" t="s">
        <v>17</v>
      </c>
      <c r="I421" t="s">
        <v>25</v>
      </c>
      <c r="J421" t="s">
        <v>25</v>
      </c>
    </row>
    <row r="422" spans="1:10" x14ac:dyDescent="0.25">
      <c r="A422" t="s">
        <v>460</v>
      </c>
      <c r="B422" s="1">
        <v>45271</v>
      </c>
      <c r="C422" t="s">
        <v>68</v>
      </c>
      <c r="D422" t="s">
        <v>38</v>
      </c>
      <c r="E422" s="4">
        <v>4</v>
      </c>
      <c r="F422" s="4">
        <v>12500</v>
      </c>
      <c r="G422" s="4">
        <v>50000</v>
      </c>
      <c r="H422" t="s">
        <v>17</v>
      </c>
      <c r="I422" t="s">
        <v>14</v>
      </c>
      <c r="J422" t="s">
        <v>14</v>
      </c>
    </row>
    <row r="423" spans="1:10" x14ac:dyDescent="0.25">
      <c r="A423" t="s">
        <v>461</v>
      </c>
      <c r="B423" s="1">
        <v>44952</v>
      </c>
      <c r="C423" t="s">
        <v>68</v>
      </c>
      <c r="D423" t="s">
        <v>33</v>
      </c>
      <c r="E423" s="4">
        <v>4</v>
      </c>
      <c r="F423" s="4">
        <v>15000</v>
      </c>
      <c r="G423" s="4">
        <v>60000</v>
      </c>
      <c r="H423" t="s">
        <v>36</v>
      </c>
      <c r="I423" t="s">
        <v>18</v>
      </c>
      <c r="J423" t="s">
        <v>18</v>
      </c>
    </row>
    <row r="424" spans="1:10" x14ac:dyDescent="0.25">
      <c r="A424" t="s">
        <v>462</v>
      </c>
      <c r="B424" s="1">
        <v>45260</v>
      </c>
      <c r="C424" t="s">
        <v>23</v>
      </c>
      <c r="D424" t="s">
        <v>50</v>
      </c>
      <c r="E424" s="4">
        <v>2</v>
      </c>
      <c r="F424" s="4">
        <v>15000</v>
      </c>
      <c r="G424" s="4">
        <v>30000</v>
      </c>
      <c r="H424" t="s">
        <v>13</v>
      </c>
      <c r="I424" t="s">
        <v>14</v>
      </c>
      <c r="J424" t="s">
        <v>14</v>
      </c>
    </row>
    <row r="425" spans="1:10" x14ac:dyDescent="0.25">
      <c r="A425" t="s">
        <v>463</v>
      </c>
      <c r="B425" s="1">
        <v>45138</v>
      </c>
      <c r="C425" t="s">
        <v>75</v>
      </c>
      <c r="D425" t="s">
        <v>38</v>
      </c>
      <c r="E425" s="4">
        <v>3</v>
      </c>
      <c r="F425" s="4">
        <v>15000</v>
      </c>
      <c r="G425" s="4">
        <v>45000</v>
      </c>
      <c r="H425" t="s">
        <v>21</v>
      </c>
      <c r="I425" t="s">
        <v>62</v>
      </c>
      <c r="J425" t="s">
        <v>62</v>
      </c>
    </row>
    <row r="426" spans="1:10" x14ac:dyDescent="0.25">
      <c r="A426" t="s">
        <v>464</v>
      </c>
      <c r="B426" s="1">
        <v>45116</v>
      </c>
      <c r="C426" t="s">
        <v>29</v>
      </c>
      <c r="D426" t="s">
        <v>50</v>
      </c>
      <c r="E426" s="4">
        <v>2</v>
      </c>
      <c r="F426" s="4">
        <v>20000</v>
      </c>
      <c r="G426" s="4">
        <v>40000</v>
      </c>
      <c r="H426" t="s">
        <v>13</v>
      </c>
      <c r="I426" t="s">
        <v>14</v>
      </c>
      <c r="J426" t="s">
        <v>14</v>
      </c>
    </row>
    <row r="427" spans="1:10" x14ac:dyDescent="0.25">
      <c r="A427" t="s">
        <v>465</v>
      </c>
      <c r="B427" s="1">
        <v>45244</v>
      </c>
      <c r="C427" t="s">
        <v>55</v>
      </c>
      <c r="D427" t="s">
        <v>20</v>
      </c>
      <c r="E427" s="4">
        <v>3</v>
      </c>
      <c r="F427" s="4">
        <v>5000</v>
      </c>
      <c r="G427" s="4">
        <v>15000</v>
      </c>
      <c r="H427" t="s">
        <v>17</v>
      </c>
      <c r="I427" t="s">
        <v>62</v>
      </c>
      <c r="J427" t="s">
        <v>62</v>
      </c>
    </row>
    <row r="428" spans="1:10" x14ac:dyDescent="0.25">
      <c r="A428" t="s">
        <v>466</v>
      </c>
      <c r="B428" s="1">
        <v>45059</v>
      </c>
      <c r="C428" t="s">
        <v>68</v>
      </c>
      <c r="D428" t="s">
        <v>33</v>
      </c>
      <c r="E428" s="4">
        <v>4</v>
      </c>
      <c r="F428" s="4">
        <v>15000</v>
      </c>
      <c r="G428" s="4">
        <v>60000</v>
      </c>
      <c r="H428" t="s">
        <v>13</v>
      </c>
      <c r="I428" t="s">
        <v>27</v>
      </c>
      <c r="J428" t="s">
        <v>27</v>
      </c>
    </row>
    <row r="429" spans="1:10" x14ac:dyDescent="0.25">
      <c r="A429" t="s">
        <v>467</v>
      </c>
      <c r="B429" s="1">
        <v>45283</v>
      </c>
      <c r="C429" t="s">
        <v>68</v>
      </c>
      <c r="D429" t="s">
        <v>50</v>
      </c>
      <c r="E429" s="4">
        <v>3</v>
      </c>
      <c r="F429" s="4">
        <v>5000</v>
      </c>
      <c r="G429" s="4">
        <v>15000</v>
      </c>
      <c r="H429" t="s">
        <v>17</v>
      </c>
      <c r="I429" t="s">
        <v>27</v>
      </c>
      <c r="J429" t="s">
        <v>27</v>
      </c>
    </row>
    <row r="430" spans="1:10" x14ac:dyDescent="0.25">
      <c r="A430" t="s">
        <v>468</v>
      </c>
      <c r="B430" s="1">
        <v>45076</v>
      </c>
      <c r="C430" t="s">
        <v>55</v>
      </c>
      <c r="D430" t="s">
        <v>24</v>
      </c>
      <c r="E430" s="4">
        <v>2</v>
      </c>
      <c r="F430" s="4">
        <v>20000</v>
      </c>
      <c r="G430" s="4">
        <v>40000</v>
      </c>
      <c r="H430" t="s">
        <v>17</v>
      </c>
      <c r="I430" t="s">
        <v>62</v>
      </c>
      <c r="J430" t="s">
        <v>62</v>
      </c>
    </row>
    <row r="431" spans="1:10" x14ac:dyDescent="0.25">
      <c r="A431" t="s">
        <v>469</v>
      </c>
      <c r="B431" s="1">
        <v>45291</v>
      </c>
      <c r="C431" t="s">
        <v>55</v>
      </c>
      <c r="D431" t="s">
        <v>48</v>
      </c>
      <c r="E431" s="4">
        <v>1</v>
      </c>
      <c r="F431" s="4">
        <v>10000</v>
      </c>
      <c r="G431" s="4">
        <v>10000</v>
      </c>
      <c r="H431" t="s">
        <v>21</v>
      </c>
      <c r="I431" t="s">
        <v>62</v>
      </c>
      <c r="J431" t="s">
        <v>62</v>
      </c>
    </row>
    <row r="432" spans="1:10" x14ac:dyDescent="0.25">
      <c r="A432" t="s">
        <v>470</v>
      </c>
      <c r="B432" s="1">
        <v>45047</v>
      </c>
      <c r="C432" t="s">
        <v>32</v>
      </c>
      <c r="D432" t="s">
        <v>33</v>
      </c>
      <c r="E432" s="4">
        <v>3</v>
      </c>
      <c r="F432" s="4">
        <v>12500</v>
      </c>
      <c r="G432" s="4">
        <v>37500</v>
      </c>
      <c r="H432" t="s">
        <v>21</v>
      </c>
      <c r="I432" t="s">
        <v>25</v>
      </c>
      <c r="J432" t="s">
        <v>25</v>
      </c>
    </row>
    <row r="433" spans="1:10" x14ac:dyDescent="0.25">
      <c r="A433" t="s">
        <v>471</v>
      </c>
      <c r="B433" s="1">
        <v>44997</v>
      </c>
      <c r="C433" t="s">
        <v>16</v>
      </c>
      <c r="D433" t="s">
        <v>12</v>
      </c>
      <c r="E433" s="4">
        <v>3</v>
      </c>
      <c r="F433" s="4">
        <v>20000</v>
      </c>
      <c r="G433" s="4">
        <v>60000</v>
      </c>
      <c r="H433" t="s">
        <v>13</v>
      </c>
      <c r="I433" t="s">
        <v>25</v>
      </c>
      <c r="J433" t="s">
        <v>25</v>
      </c>
    </row>
    <row r="434" spans="1:10" x14ac:dyDescent="0.25">
      <c r="A434" t="s">
        <v>472</v>
      </c>
      <c r="B434" s="1">
        <v>44994</v>
      </c>
      <c r="C434" t="s">
        <v>35</v>
      </c>
      <c r="D434" t="s">
        <v>30</v>
      </c>
      <c r="E434" s="4">
        <v>3</v>
      </c>
      <c r="F434" s="4">
        <v>10000</v>
      </c>
      <c r="G434" s="4">
        <v>30000</v>
      </c>
      <c r="H434" t="s">
        <v>13</v>
      </c>
      <c r="I434" t="s">
        <v>14</v>
      </c>
      <c r="J434" t="s">
        <v>14</v>
      </c>
    </row>
    <row r="435" spans="1:10" x14ac:dyDescent="0.25">
      <c r="A435" t="s">
        <v>473</v>
      </c>
      <c r="B435" s="1">
        <v>45001</v>
      </c>
      <c r="C435" t="s">
        <v>66</v>
      </c>
      <c r="D435" t="s">
        <v>50</v>
      </c>
      <c r="E435" s="4">
        <v>2</v>
      </c>
      <c r="F435" s="4">
        <v>15000</v>
      </c>
      <c r="G435" s="4">
        <v>30000</v>
      </c>
      <c r="H435" t="s">
        <v>17</v>
      </c>
      <c r="I435" t="s">
        <v>27</v>
      </c>
      <c r="J435" t="s">
        <v>14</v>
      </c>
    </row>
    <row r="436" spans="1:10" x14ac:dyDescent="0.25">
      <c r="A436" t="s">
        <v>474</v>
      </c>
      <c r="B436" s="1">
        <v>45137</v>
      </c>
      <c r="C436" t="s">
        <v>16</v>
      </c>
      <c r="D436" t="s">
        <v>60</v>
      </c>
      <c r="E436" s="4">
        <v>4</v>
      </c>
      <c r="F436" s="4">
        <v>10000</v>
      </c>
      <c r="G436" s="4">
        <v>40000</v>
      </c>
      <c r="H436" t="s">
        <v>21</v>
      </c>
      <c r="I436" t="s">
        <v>14</v>
      </c>
      <c r="J436" t="s">
        <v>14</v>
      </c>
    </row>
    <row r="437" spans="1:10" x14ac:dyDescent="0.25">
      <c r="A437" t="s">
        <v>475</v>
      </c>
      <c r="B437" s="1">
        <v>45217</v>
      </c>
      <c r="C437" t="s">
        <v>66</v>
      </c>
      <c r="D437" t="s">
        <v>50</v>
      </c>
      <c r="E437" s="4">
        <v>2</v>
      </c>
      <c r="F437" s="4">
        <v>15000</v>
      </c>
      <c r="G437" s="4">
        <v>30000</v>
      </c>
      <c r="H437" t="s">
        <v>13</v>
      </c>
      <c r="I437" t="s">
        <v>27</v>
      </c>
      <c r="J437" t="s">
        <v>27</v>
      </c>
    </row>
    <row r="438" spans="1:10" x14ac:dyDescent="0.25">
      <c r="A438" t="s">
        <v>476</v>
      </c>
      <c r="B438" s="1">
        <v>45259</v>
      </c>
      <c r="C438" t="s">
        <v>11</v>
      </c>
      <c r="D438" t="s">
        <v>44</v>
      </c>
      <c r="E438" s="4">
        <v>2</v>
      </c>
      <c r="F438" s="4">
        <v>12500</v>
      </c>
      <c r="G438" s="4">
        <v>25000</v>
      </c>
      <c r="H438" t="s">
        <v>36</v>
      </c>
      <c r="I438" t="s">
        <v>25</v>
      </c>
      <c r="J438" t="s">
        <v>25</v>
      </c>
    </row>
    <row r="439" spans="1:10" x14ac:dyDescent="0.25">
      <c r="A439" t="s">
        <v>477</v>
      </c>
      <c r="B439" s="1">
        <v>45138</v>
      </c>
      <c r="C439" t="s">
        <v>11</v>
      </c>
      <c r="D439" t="s">
        <v>30</v>
      </c>
      <c r="E439" s="4">
        <v>3</v>
      </c>
      <c r="F439" s="4">
        <v>10000</v>
      </c>
      <c r="G439" s="4">
        <v>30000</v>
      </c>
      <c r="H439" t="s">
        <v>13</v>
      </c>
      <c r="I439" t="s">
        <v>27</v>
      </c>
      <c r="J439" t="s">
        <v>27</v>
      </c>
    </row>
    <row r="440" spans="1:10" x14ac:dyDescent="0.25">
      <c r="A440" t="s">
        <v>478</v>
      </c>
      <c r="B440" s="1">
        <v>45161</v>
      </c>
      <c r="C440" t="s">
        <v>68</v>
      </c>
      <c r="D440" t="s">
        <v>30</v>
      </c>
      <c r="E440" s="4">
        <v>4</v>
      </c>
      <c r="F440" s="4">
        <v>20000</v>
      </c>
      <c r="G440" s="4">
        <v>80000</v>
      </c>
      <c r="H440" t="s">
        <v>36</v>
      </c>
      <c r="I440" t="s">
        <v>62</v>
      </c>
      <c r="J440" t="s">
        <v>62</v>
      </c>
    </row>
    <row r="441" spans="1:10" x14ac:dyDescent="0.25">
      <c r="A441" t="s">
        <v>479</v>
      </c>
      <c r="B441" s="1">
        <v>44946</v>
      </c>
      <c r="C441" t="s">
        <v>42</v>
      </c>
      <c r="D441" t="s">
        <v>33</v>
      </c>
      <c r="E441" s="4">
        <v>1</v>
      </c>
      <c r="F441" s="4">
        <v>20000</v>
      </c>
      <c r="G441" s="4">
        <v>20000</v>
      </c>
      <c r="H441" t="s">
        <v>17</v>
      </c>
      <c r="I441" t="s">
        <v>27</v>
      </c>
      <c r="J441" t="s">
        <v>14</v>
      </c>
    </row>
    <row r="442" spans="1:10" x14ac:dyDescent="0.25">
      <c r="A442" t="s">
        <v>480</v>
      </c>
      <c r="B442" s="1">
        <v>44952</v>
      </c>
      <c r="C442" t="s">
        <v>55</v>
      </c>
      <c r="D442" t="s">
        <v>30</v>
      </c>
      <c r="E442" s="4">
        <v>3</v>
      </c>
      <c r="F442" s="4">
        <v>20000</v>
      </c>
      <c r="G442" s="4">
        <v>60000</v>
      </c>
      <c r="H442" t="s">
        <v>21</v>
      </c>
      <c r="I442" t="s">
        <v>62</v>
      </c>
      <c r="J442" t="s">
        <v>62</v>
      </c>
    </row>
    <row r="443" spans="1:10" x14ac:dyDescent="0.25">
      <c r="A443" t="s">
        <v>481</v>
      </c>
      <c r="B443" s="1">
        <v>45164</v>
      </c>
      <c r="C443" t="s">
        <v>75</v>
      </c>
      <c r="D443" t="s">
        <v>24</v>
      </c>
      <c r="E443" s="4">
        <v>1</v>
      </c>
      <c r="F443" s="4">
        <v>10000</v>
      </c>
      <c r="G443" s="4">
        <v>10000</v>
      </c>
      <c r="H443" t="s">
        <v>17</v>
      </c>
      <c r="I443" t="s">
        <v>14</v>
      </c>
      <c r="J443" t="s">
        <v>14</v>
      </c>
    </row>
    <row r="444" spans="1:10" x14ac:dyDescent="0.25">
      <c r="A444" t="s">
        <v>482</v>
      </c>
      <c r="B444" s="1">
        <v>45018</v>
      </c>
      <c r="C444" t="s">
        <v>35</v>
      </c>
      <c r="D444" t="s">
        <v>24</v>
      </c>
      <c r="E444" s="4">
        <v>5</v>
      </c>
      <c r="F444" s="4">
        <v>10000</v>
      </c>
      <c r="G444" s="4">
        <v>50000</v>
      </c>
      <c r="H444" t="s">
        <v>36</v>
      </c>
      <c r="I444" t="s">
        <v>27</v>
      </c>
      <c r="J444" t="s">
        <v>27</v>
      </c>
    </row>
    <row r="445" spans="1:10" x14ac:dyDescent="0.25">
      <c r="A445" t="s">
        <v>483</v>
      </c>
      <c r="B445" s="1">
        <v>44973</v>
      </c>
      <c r="C445" t="s">
        <v>42</v>
      </c>
      <c r="D445" t="s">
        <v>12</v>
      </c>
      <c r="E445" s="4">
        <v>3</v>
      </c>
      <c r="F445" s="4">
        <v>20000</v>
      </c>
      <c r="G445" s="4">
        <v>60000</v>
      </c>
      <c r="H445" t="s">
        <v>21</v>
      </c>
      <c r="I445" t="s">
        <v>27</v>
      </c>
      <c r="J445" t="s">
        <v>27</v>
      </c>
    </row>
    <row r="446" spans="1:10" x14ac:dyDescent="0.25">
      <c r="A446" t="s">
        <v>484</v>
      </c>
      <c r="B446" s="1">
        <v>45116</v>
      </c>
      <c r="C446" t="s">
        <v>29</v>
      </c>
      <c r="D446" t="s">
        <v>38</v>
      </c>
      <c r="E446" s="4">
        <v>1</v>
      </c>
      <c r="F446" s="4">
        <v>12500</v>
      </c>
      <c r="G446" s="4">
        <v>12500</v>
      </c>
      <c r="H446" t="s">
        <v>21</v>
      </c>
      <c r="I446" t="s">
        <v>18</v>
      </c>
      <c r="J446" t="s">
        <v>18</v>
      </c>
    </row>
    <row r="447" spans="1:10" x14ac:dyDescent="0.25">
      <c r="A447" t="s">
        <v>485</v>
      </c>
      <c r="B447" s="1">
        <v>45116</v>
      </c>
      <c r="C447" t="s">
        <v>23</v>
      </c>
      <c r="D447" t="s">
        <v>60</v>
      </c>
      <c r="E447" s="4">
        <v>3</v>
      </c>
      <c r="F447" s="4">
        <v>12500</v>
      </c>
      <c r="G447" s="4">
        <v>37500</v>
      </c>
      <c r="H447" t="s">
        <v>21</v>
      </c>
      <c r="I447" t="s">
        <v>27</v>
      </c>
      <c r="J447" t="s">
        <v>14</v>
      </c>
    </row>
    <row r="448" spans="1:10" x14ac:dyDescent="0.25">
      <c r="A448" t="s">
        <v>486</v>
      </c>
      <c r="B448" s="1">
        <v>45181</v>
      </c>
      <c r="C448" t="s">
        <v>16</v>
      </c>
      <c r="D448" t="s">
        <v>24</v>
      </c>
      <c r="E448" s="4">
        <v>5</v>
      </c>
      <c r="F448" s="4">
        <v>12500</v>
      </c>
      <c r="G448" s="4">
        <v>62500</v>
      </c>
      <c r="H448" t="s">
        <v>36</v>
      </c>
      <c r="I448" t="s">
        <v>14</v>
      </c>
      <c r="J448" t="s">
        <v>14</v>
      </c>
    </row>
    <row r="449" spans="1:10" x14ac:dyDescent="0.25">
      <c r="A449" t="s">
        <v>487</v>
      </c>
      <c r="B449" s="1">
        <v>45052</v>
      </c>
      <c r="C449" t="s">
        <v>11</v>
      </c>
      <c r="D449" t="s">
        <v>33</v>
      </c>
      <c r="E449" s="4">
        <v>3</v>
      </c>
      <c r="F449" s="4">
        <v>15000</v>
      </c>
      <c r="G449" s="4">
        <v>45000</v>
      </c>
      <c r="H449" t="s">
        <v>13</v>
      </c>
      <c r="I449" t="s">
        <v>27</v>
      </c>
      <c r="J449" t="s">
        <v>27</v>
      </c>
    </row>
    <row r="450" spans="1:10" x14ac:dyDescent="0.25">
      <c r="A450" t="s">
        <v>488</v>
      </c>
      <c r="B450" s="1">
        <v>45235</v>
      </c>
      <c r="C450" t="s">
        <v>11</v>
      </c>
      <c r="D450" t="s">
        <v>60</v>
      </c>
      <c r="E450" s="4">
        <v>3</v>
      </c>
      <c r="F450" s="4">
        <v>5000</v>
      </c>
      <c r="G450" s="4">
        <v>15000</v>
      </c>
      <c r="H450" t="s">
        <v>17</v>
      </c>
      <c r="I450" t="s">
        <v>25</v>
      </c>
      <c r="J450" t="s">
        <v>25</v>
      </c>
    </row>
    <row r="451" spans="1:10" x14ac:dyDescent="0.25">
      <c r="A451" t="s">
        <v>489</v>
      </c>
      <c r="B451" s="1">
        <v>45214</v>
      </c>
      <c r="C451" t="s">
        <v>23</v>
      </c>
      <c r="D451" t="s">
        <v>20</v>
      </c>
      <c r="E451" s="4">
        <v>4</v>
      </c>
      <c r="F451" s="4">
        <v>10000</v>
      </c>
      <c r="G451" s="4">
        <v>40000</v>
      </c>
      <c r="H451" t="s">
        <v>21</v>
      </c>
      <c r="I451" t="s">
        <v>27</v>
      </c>
      <c r="J451" t="s">
        <v>27</v>
      </c>
    </row>
    <row r="452" spans="1:10" x14ac:dyDescent="0.25">
      <c r="A452" t="s">
        <v>490</v>
      </c>
      <c r="B452" s="1">
        <v>45208</v>
      </c>
      <c r="C452" t="s">
        <v>66</v>
      </c>
      <c r="D452" t="s">
        <v>24</v>
      </c>
      <c r="E452" s="4">
        <v>3</v>
      </c>
      <c r="F452" s="4">
        <v>20000</v>
      </c>
      <c r="G452" s="4">
        <v>60000</v>
      </c>
      <c r="H452" t="s">
        <v>17</v>
      </c>
      <c r="I452" t="s">
        <v>62</v>
      </c>
      <c r="J452" t="s">
        <v>62</v>
      </c>
    </row>
    <row r="453" spans="1:10" x14ac:dyDescent="0.25">
      <c r="A453" t="s">
        <v>491</v>
      </c>
      <c r="B453" s="1">
        <v>45249</v>
      </c>
      <c r="C453" t="s">
        <v>75</v>
      </c>
      <c r="D453" t="s">
        <v>33</v>
      </c>
      <c r="E453" s="4">
        <v>1</v>
      </c>
      <c r="F453" s="4">
        <v>20000</v>
      </c>
      <c r="G453" s="4">
        <v>20000</v>
      </c>
      <c r="H453" t="s">
        <v>21</v>
      </c>
      <c r="I453" t="s">
        <v>25</v>
      </c>
      <c r="J453" t="s">
        <v>25</v>
      </c>
    </row>
    <row r="454" spans="1:10" x14ac:dyDescent="0.25">
      <c r="A454" t="s">
        <v>492</v>
      </c>
      <c r="B454" s="1">
        <v>45241</v>
      </c>
      <c r="C454" t="s">
        <v>11</v>
      </c>
      <c r="D454" t="s">
        <v>50</v>
      </c>
      <c r="E454" s="4">
        <v>4</v>
      </c>
      <c r="F454" s="4">
        <v>15000</v>
      </c>
      <c r="G454" s="4">
        <v>60000</v>
      </c>
      <c r="H454" t="s">
        <v>36</v>
      </c>
      <c r="I454" t="s">
        <v>25</v>
      </c>
      <c r="J454" t="s">
        <v>25</v>
      </c>
    </row>
    <row r="455" spans="1:10" x14ac:dyDescent="0.25">
      <c r="A455" t="s">
        <v>493</v>
      </c>
      <c r="B455" s="1">
        <v>45116</v>
      </c>
      <c r="C455" t="s">
        <v>23</v>
      </c>
      <c r="D455" t="s">
        <v>60</v>
      </c>
      <c r="E455" s="4">
        <v>1</v>
      </c>
      <c r="F455" s="4">
        <v>15000</v>
      </c>
      <c r="G455" s="4">
        <v>15000</v>
      </c>
      <c r="H455" t="s">
        <v>21</v>
      </c>
      <c r="I455" t="s">
        <v>27</v>
      </c>
      <c r="J455" t="s">
        <v>27</v>
      </c>
    </row>
    <row r="456" spans="1:10" x14ac:dyDescent="0.25">
      <c r="A456" t="s">
        <v>494</v>
      </c>
      <c r="B456" s="1">
        <v>45016</v>
      </c>
      <c r="C456" t="s">
        <v>32</v>
      </c>
      <c r="D456" t="s">
        <v>30</v>
      </c>
      <c r="E456" s="4">
        <v>3</v>
      </c>
      <c r="F456" s="4">
        <v>12500</v>
      </c>
      <c r="G456" s="4">
        <v>37500</v>
      </c>
      <c r="H456" t="s">
        <v>36</v>
      </c>
      <c r="I456" t="s">
        <v>25</v>
      </c>
      <c r="J456" t="s">
        <v>25</v>
      </c>
    </row>
    <row r="457" spans="1:10" x14ac:dyDescent="0.25">
      <c r="A457" t="s">
        <v>495</v>
      </c>
      <c r="B457" s="1">
        <v>45098</v>
      </c>
      <c r="C457" t="s">
        <v>29</v>
      </c>
      <c r="D457" t="s">
        <v>24</v>
      </c>
      <c r="E457" s="4">
        <v>4</v>
      </c>
      <c r="F457" s="4">
        <v>10000</v>
      </c>
      <c r="G457" s="4">
        <v>40000</v>
      </c>
      <c r="H457" t="s">
        <v>21</v>
      </c>
      <c r="I457" t="s">
        <v>18</v>
      </c>
      <c r="J457" t="s">
        <v>18</v>
      </c>
    </row>
    <row r="458" spans="1:10" x14ac:dyDescent="0.25">
      <c r="A458" t="s">
        <v>496</v>
      </c>
      <c r="B458" s="1">
        <v>45108</v>
      </c>
      <c r="C458" t="s">
        <v>29</v>
      </c>
      <c r="D458" t="s">
        <v>12</v>
      </c>
      <c r="E458" s="4">
        <v>2</v>
      </c>
      <c r="F458" s="4">
        <v>15000</v>
      </c>
      <c r="G458" s="4">
        <v>30000</v>
      </c>
      <c r="H458" t="s">
        <v>21</v>
      </c>
      <c r="I458" t="s">
        <v>25</v>
      </c>
      <c r="J458" t="s">
        <v>25</v>
      </c>
    </row>
    <row r="459" spans="1:10" x14ac:dyDescent="0.25">
      <c r="A459" t="s">
        <v>497</v>
      </c>
      <c r="B459" s="1">
        <v>45084</v>
      </c>
      <c r="C459" t="s">
        <v>55</v>
      </c>
      <c r="D459" t="s">
        <v>44</v>
      </c>
      <c r="E459" s="4">
        <v>3</v>
      </c>
      <c r="F459" s="4">
        <v>5000</v>
      </c>
      <c r="G459" s="4">
        <v>15000</v>
      </c>
      <c r="H459" t="s">
        <v>36</v>
      </c>
      <c r="I459" t="s">
        <v>27</v>
      </c>
      <c r="J459" t="s">
        <v>27</v>
      </c>
    </row>
    <row r="460" spans="1:10" x14ac:dyDescent="0.25">
      <c r="A460" t="s">
        <v>498</v>
      </c>
      <c r="B460" s="1">
        <v>45016</v>
      </c>
      <c r="C460" t="s">
        <v>55</v>
      </c>
      <c r="D460" t="s">
        <v>12</v>
      </c>
      <c r="E460" s="4">
        <v>3</v>
      </c>
      <c r="F460" s="4">
        <v>12500</v>
      </c>
      <c r="G460" s="4">
        <v>37500</v>
      </c>
      <c r="H460" t="s">
        <v>13</v>
      </c>
      <c r="I460" t="s">
        <v>27</v>
      </c>
      <c r="J460" t="s">
        <v>27</v>
      </c>
    </row>
    <row r="461" spans="1:10" x14ac:dyDescent="0.25">
      <c r="A461" t="s">
        <v>499</v>
      </c>
      <c r="B461" s="1">
        <v>45174</v>
      </c>
      <c r="C461" t="s">
        <v>42</v>
      </c>
      <c r="D461" t="s">
        <v>33</v>
      </c>
      <c r="E461" s="4">
        <v>3</v>
      </c>
      <c r="F461" s="4">
        <v>12500</v>
      </c>
      <c r="G461" s="4">
        <v>37500</v>
      </c>
      <c r="H461" t="s">
        <v>13</v>
      </c>
      <c r="I461" t="s">
        <v>27</v>
      </c>
      <c r="J461" t="s">
        <v>27</v>
      </c>
    </row>
    <row r="462" spans="1:10" x14ac:dyDescent="0.25">
      <c r="A462" t="s">
        <v>500</v>
      </c>
      <c r="B462" s="1">
        <v>45116</v>
      </c>
      <c r="C462" t="s">
        <v>55</v>
      </c>
      <c r="D462" t="s">
        <v>12</v>
      </c>
      <c r="E462" s="4">
        <v>1</v>
      </c>
      <c r="F462" s="4">
        <v>15000</v>
      </c>
      <c r="G462" s="4">
        <v>15000</v>
      </c>
      <c r="H462" t="s">
        <v>17</v>
      </c>
      <c r="I462" t="s">
        <v>62</v>
      </c>
      <c r="J462" t="s">
        <v>62</v>
      </c>
    </row>
    <row r="463" spans="1:10" x14ac:dyDescent="0.25">
      <c r="A463" t="s">
        <v>501</v>
      </c>
      <c r="B463" s="1">
        <v>45086</v>
      </c>
      <c r="C463" t="s">
        <v>42</v>
      </c>
      <c r="D463" t="s">
        <v>30</v>
      </c>
      <c r="E463" s="4">
        <v>3</v>
      </c>
      <c r="F463" s="4">
        <v>10000</v>
      </c>
      <c r="G463" s="4">
        <v>30000</v>
      </c>
      <c r="H463" t="s">
        <v>21</v>
      </c>
      <c r="I463" t="s">
        <v>62</v>
      </c>
      <c r="J463" t="s">
        <v>62</v>
      </c>
    </row>
    <row r="464" spans="1:10" x14ac:dyDescent="0.25">
      <c r="A464" t="s">
        <v>502</v>
      </c>
      <c r="B464" s="1">
        <v>44934</v>
      </c>
      <c r="C464" t="s">
        <v>66</v>
      </c>
      <c r="D464" t="s">
        <v>50</v>
      </c>
      <c r="E464" s="4">
        <v>5</v>
      </c>
      <c r="F464" s="4">
        <v>15000</v>
      </c>
      <c r="G464" s="4">
        <v>75000</v>
      </c>
      <c r="H464" t="s">
        <v>13</v>
      </c>
      <c r="I464" t="s">
        <v>18</v>
      </c>
      <c r="J464" t="s">
        <v>18</v>
      </c>
    </row>
    <row r="465" spans="1:10" x14ac:dyDescent="0.25">
      <c r="A465" t="s">
        <v>503</v>
      </c>
      <c r="B465" s="1">
        <v>45116</v>
      </c>
      <c r="C465" t="s">
        <v>11</v>
      </c>
      <c r="D465" t="s">
        <v>12</v>
      </c>
      <c r="E465" s="4">
        <v>3</v>
      </c>
      <c r="F465" s="4">
        <v>15000</v>
      </c>
      <c r="G465" s="4">
        <v>45000</v>
      </c>
      <c r="H465" t="s">
        <v>36</v>
      </c>
      <c r="I465" t="s">
        <v>27</v>
      </c>
      <c r="J465" t="s">
        <v>27</v>
      </c>
    </row>
    <row r="466" spans="1:10" x14ac:dyDescent="0.25">
      <c r="A466" t="s">
        <v>504</v>
      </c>
      <c r="B466" s="1">
        <v>45127</v>
      </c>
      <c r="C466" t="s">
        <v>66</v>
      </c>
      <c r="D466" t="s">
        <v>20</v>
      </c>
      <c r="E466" s="4">
        <v>3</v>
      </c>
      <c r="F466" s="4">
        <v>15000</v>
      </c>
      <c r="G466" s="4">
        <v>45000</v>
      </c>
      <c r="H466" t="s">
        <v>36</v>
      </c>
      <c r="I466" t="s">
        <v>18</v>
      </c>
      <c r="J466" t="s">
        <v>18</v>
      </c>
    </row>
    <row r="467" spans="1:10" x14ac:dyDescent="0.25">
      <c r="A467" t="s">
        <v>505</v>
      </c>
      <c r="B467" s="1">
        <v>45165</v>
      </c>
      <c r="C467" t="s">
        <v>55</v>
      </c>
      <c r="D467" t="s">
        <v>50</v>
      </c>
      <c r="E467" s="4">
        <v>2</v>
      </c>
      <c r="F467" s="4">
        <v>5000</v>
      </c>
      <c r="G467" s="4">
        <v>10000</v>
      </c>
      <c r="H467" t="s">
        <v>36</v>
      </c>
      <c r="I467" t="s">
        <v>27</v>
      </c>
      <c r="J467" t="s">
        <v>27</v>
      </c>
    </row>
    <row r="468" spans="1:10" x14ac:dyDescent="0.25">
      <c r="A468" t="s">
        <v>506</v>
      </c>
      <c r="B468" s="1">
        <v>45000</v>
      </c>
      <c r="C468" t="s">
        <v>66</v>
      </c>
      <c r="D468" t="s">
        <v>24</v>
      </c>
      <c r="E468" s="4">
        <v>3</v>
      </c>
      <c r="F468" s="4">
        <v>15000</v>
      </c>
      <c r="G468" s="4">
        <v>45000</v>
      </c>
      <c r="H468" t="s">
        <v>13</v>
      </c>
      <c r="I468" t="s">
        <v>62</v>
      </c>
      <c r="J468" t="s">
        <v>62</v>
      </c>
    </row>
    <row r="469" spans="1:10" x14ac:dyDescent="0.25">
      <c r="A469" t="s">
        <v>507</v>
      </c>
      <c r="B469" s="1">
        <v>45071</v>
      </c>
      <c r="C469" t="s">
        <v>23</v>
      </c>
      <c r="D469" t="s">
        <v>44</v>
      </c>
      <c r="E469" s="4">
        <v>5</v>
      </c>
      <c r="F469" s="4">
        <v>15000</v>
      </c>
      <c r="G469" s="4">
        <v>75000</v>
      </c>
      <c r="H469" t="s">
        <v>17</v>
      </c>
      <c r="I469" t="s">
        <v>25</v>
      </c>
      <c r="J469" t="s">
        <v>25</v>
      </c>
    </row>
    <row r="470" spans="1:10" x14ac:dyDescent="0.25">
      <c r="A470" t="s">
        <v>508</v>
      </c>
      <c r="B470" s="1">
        <v>45138</v>
      </c>
      <c r="C470" t="s">
        <v>68</v>
      </c>
      <c r="D470" t="s">
        <v>30</v>
      </c>
      <c r="E470" s="4">
        <v>5</v>
      </c>
      <c r="F470" s="4">
        <v>10000</v>
      </c>
      <c r="G470" s="4">
        <v>50000</v>
      </c>
      <c r="H470" t="s">
        <v>13</v>
      </c>
      <c r="I470" t="s">
        <v>25</v>
      </c>
      <c r="J470" t="s">
        <v>25</v>
      </c>
    </row>
    <row r="471" spans="1:10" x14ac:dyDescent="0.25">
      <c r="A471" t="s">
        <v>509</v>
      </c>
      <c r="B471" s="1">
        <v>45116</v>
      </c>
      <c r="C471" t="s">
        <v>75</v>
      </c>
      <c r="D471" t="s">
        <v>44</v>
      </c>
      <c r="E471" s="4">
        <v>5</v>
      </c>
      <c r="F471" s="4">
        <v>10000</v>
      </c>
      <c r="G471" s="4">
        <v>50000</v>
      </c>
      <c r="H471" t="s">
        <v>13</v>
      </c>
      <c r="I471" t="s">
        <v>27</v>
      </c>
      <c r="J471" t="s">
        <v>27</v>
      </c>
    </row>
    <row r="472" spans="1:10" x14ac:dyDescent="0.25">
      <c r="A472" t="s">
        <v>510</v>
      </c>
      <c r="B472" s="1">
        <v>45154</v>
      </c>
      <c r="C472" t="s">
        <v>68</v>
      </c>
      <c r="D472" t="s">
        <v>20</v>
      </c>
      <c r="E472" s="4">
        <v>3</v>
      </c>
      <c r="F472" s="4">
        <v>20000</v>
      </c>
      <c r="G472" s="4">
        <v>60000</v>
      </c>
      <c r="H472" t="s">
        <v>17</v>
      </c>
      <c r="I472" t="s">
        <v>18</v>
      </c>
      <c r="J472" t="s">
        <v>18</v>
      </c>
    </row>
    <row r="473" spans="1:10" x14ac:dyDescent="0.25">
      <c r="A473" t="s">
        <v>511</v>
      </c>
      <c r="B473" s="1">
        <v>45224</v>
      </c>
      <c r="C473" t="s">
        <v>35</v>
      </c>
      <c r="D473" t="s">
        <v>48</v>
      </c>
      <c r="E473" s="4">
        <v>2</v>
      </c>
      <c r="F473" s="4">
        <v>10000</v>
      </c>
      <c r="G473" s="4">
        <v>20000</v>
      </c>
      <c r="H473" t="s">
        <v>36</v>
      </c>
      <c r="I473" t="s">
        <v>18</v>
      </c>
      <c r="J473" t="s">
        <v>18</v>
      </c>
    </row>
    <row r="474" spans="1:10" x14ac:dyDescent="0.25">
      <c r="A474" t="s">
        <v>512</v>
      </c>
      <c r="B474" s="1">
        <v>45116</v>
      </c>
      <c r="C474" t="s">
        <v>32</v>
      </c>
      <c r="D474" t="s">
        <v>60</v>
      </c>
      <c r="E474" s="4">
        <v>4</v>
      </c>
      <c r="F474" s="4">
        <v>10000</v>
      </c>
      <c r="G474" s="4">
        <v>40000</v>
      </c>
      <c r="H474" t="s">
        <v>17</v>
      </c>
      <c r="I474" t="s">
        <v>18</v>
      </c>
      <c r="J474" t="s">
        <v>18</v>
      </c>
    </row>
    <row r="475" spans="1:10" x14ac:dyDescent="0.25">
      <c r="A475" t="s">
        <v>513</v>
      </c>
      <c r="B475" s="1">
        <v>45208</v>
      </c>
      <c r="C475" t="s">
        <v>35</v>
      </c>
      <c r="D475" t="s">
        <v>48</v>
      </c>
      <c r="E475" s="4">
        <v>1</v>
      </c>
      <c r="F475" s="4">
        <v>10000</v>
      </c>
      <c r="G475" s="4">
        <v>10000</v>
      </c>
      <c r="H475" t="s">
        <v>21</v>
      </c>
      <c r="I475" t="s">
        <v>27</v>
      </c>
      <c r="J475" t="s">
        <v>27</v>
      </c>
    </row>
    <row r="476" spans="1:10" x14ac:dyDescent="0.25">
      <c r="A476" t="s">
        <v>514</v>
      </c>
      <c r="B476" s="1">
        <v>45122</v>
      </c>
      <c r="C476" t="s">
        <v>55</v>
      </c>
      <c r="D476" t="s">
        <v>38</v>
      </c>
      <c r="E476" s="4">
        <v>4</v>
      </c>
      <c r="F476" s="4">
        <v>20000</v>
      </c>
      <c r="G476" s="4">
        <v>80000</v>
      </c>
      <c r="H476" t="s">
        <v>13</v>
      </c>
      <c r="I476" t="s">
        <v>14</v>
      </c>
      <c r="J476" t="s">
        <v>14</v>
      </c>
    </row>
    <row r="477" spans="1:10" x14ac:dyDescent="0.25">
      <c r="A477" t="s">
        <v>515</v>
      </c>
      <c r="B477" s="1">
        <v>45074</v>
      </c>
      <c r="C477" t="s">
        <v>55</v>
      </c>
      <c r="D477" t="s">
        <v>20</v>
      </c>
      <c r="E477" s="4">
        <v>2</v>
      </c>
      <c r="F477" s="4">
        <v>5000</v>
      </c>
      <c r="G477" s="4">
        <v>10000</v>
      </c>
      <c r="H477" t="s">
        <v>17</v>
      </c>
      <c r="I477" t="s">
        <v>14</v>
      </c>
      <c r="J477" t="s">
        <v>14</v>
      </c>
    </row>
    <row r="478" spans="1:10" x14ac:dyDescent="0.25">
      <c r="A478" t="s">
        <v>516</v>
      </c>
      <c r="B478" s="1">
        <v>45160</v>
      </c>
      <c r="C478" t="s">
        <v>68</v>
      </c>
      <c r="D478" t="s">
        <v>24</v>
      </c>
      <c r="E478" s="4">
        <v>4</v>
      </c>
      <c r="F478" s="4">
        <v>15000</v>
      </c>
      <c r="G478" s="4">
        <v>60000</v>
      </c>
      <c r="H478" t="s">
        <v>36</v>
      </c>
      <c r="I478" t="s">
        <v>18</v>
      </c>
      <c r="J478" t="s">
        <v>18</v>
      </c>
    </row>
    <row r="479" spans="1:10" x14ac:dyDescent="0.25">
      <c r="A479" t="s">
        <v>517</v>
      </c>
      <c r="B479" s="1">
        <v>45222</v>
      </c>
      <c r="C479" t="s">
        <v>42</v>
      </c>
      <c r="D479" t="s">
        <v>24</v>
      </c>
      <c r="E479" s="4">
        <v>3</v>
      </c>
      <c r="F479" s="4">
        <v>10000</v>
      </c>
      <c r="G479" s="4">
        <v>30000</v>
      </c>
      <c r="H479" t="s">
        <v>21</v>
      </c>
      <c r="I479" t="s">
        <v>25</v>
      </c>
      <c r="J479" t="s">
        <v>25</v>
      </c>
    </row>
    <row r="480" spans="1:10" x14ac:dyDescent="0.25">
      <c r="A480" t="s">
        <v>518</v>
      </c>
      <c r="B480" s="1">
        <v>45173</v>
      </c>
      <c r="C480" t="s">
        <v>42</v>
      </c>
      <c r="D480" t="s">
        <v>12</v>
      </c>
      <c r="E480" s="4">
        <v>2</v>
      </c>
      <c r="F480" s="4">
        <v>10000</v>
      </c>
      <c r="G480" s="4">
        <v>20000</v>
      </c>
      <c r="H480" t="s">
        <v>21</v>
      </c>
      <c r="I480" t="s">
        <v>25</v>
      </c>
      <c r="J480" t="s">
        <v>25</v>
      </c>
    </row>
    <row r="481" spans="1:10" x14ac:dyDescent="0.25">
      <c r="A481" t="s">
        <v>519</v>
      </c>
      <c r="B481" s="1">
        <v>45269</v>
      </c>
      <c r="C481" t="s">
        <v>32</v>
      </c>
      <c r="D481" t="s">
        <v>12</v>
      </c>
      <c r="E481" s="4">
        <v>3</v>
      </c>
      <c r="F481" s="4">
        <v>10000</v>
      </c>
      <c r="G481" s="4">
        <v>30000</v>
      </c>
      <c r="H481" t="s">
        <v>21</v>
      </c>
      <c r="I481" t="s">
        <v>27</v>
      </c>
      <c r="J481" t="s">
        <v>18</v>
      </c>
    </row>
    <row r="482" spans="1:10" x14ac:dyDescent="0.25">
      <c r="A482" t="s">
        <v>520</v>
      </c>
      <c r="B482" s="1">
        <v>45220</v>
      </c>
      <c r="C482" t="s">
        <v>32</v>
      </c>
      <c r="D482" t="s">
        <v>44</v>
      </c>
      <c r="E482" s="4">
        <v>4</v>
      </c>
      <c r="F482" s="4">
        <v>15000</v>
      </c>
      <c r="G482" s="4">
        <v>60000</v>
      </c>
      <c r="H482" t="s">
        <v>21</v>
      </c>
      <c r="I482" t="s">
        <v>14</v>
      </c>
      <c r="J482" t="s">
        <v>14</v>
      </c>
    </row>
    <row r="483" spans="1:10" x14ac:dyDescent="0.25">
      <c r="A483" t="s">
        <v>521</v>
      </c>
      <c r="B483" s="1">
        <v>45249</v>
      </c>
      <c r="C483" t="s">
        <v>75</v>
      </c>
      <c r="D483" t="s">
        <v>24</v>
      </c>
      <c r="E483" s="4">
        <v>5</v>
      </c>
      <c r="F483" s="4">
        <v>10000</v>
      </c>
      <c r="G483" s="4">
        <v>50000</v>
      </c>
      <c r="H483" t="s">
        <v>17</v>
      </c>
      <c r="I483" t="s">
        <v>62</v>
      </c>
      <c r="J483" t="s">
        <v>62</v>
      </c>
    </row>
    <row r="484" spans="1:10" x14ac:dyDescent="0.25">
      <c r="A484" t="s">
        <v>522</v>
      </c>
      <c r="B484" s="1">
        <v>45056</v>
      </c>
      <c r="C484" t="s">
        <v>23</v>
      </c>
      <c r="D484" t="s">
        <v>20</v>
      </c>
      <c r="E484" s="4">
        <v>5</v>
      </c>
      <c r="F484" s="4">
        <v>15000</v>
      </c>
      <c r="G484" s="4">
        <v>75000</v>
      </c>
      <c r="H484" t="s">
        <v>21</v>
      </c>
      <c r="I484" t="s">
        <v>27</v>
      </c>
      <c r="J484" t="s">
        <v>27</v>
      </c>
    </row>
    <row r="485" spans="1:10" x14ac:dyDescent="0.25">
      <c r="A485" t="s">
        <v>523</v>
      </c>
      <c r="B485" s="1">
        <v>45016</v>
      </c>
      <c r="C485" t="s">
        <v>32</v>
      </c>
      <c r="D485" t="s">
        <v>60</v>
      </c>
      <c r="E485" s="4">
        <v>3</v>
      </c>
      <c r="F485" s="4">
        <v>10000</v>
      </c>
      <c r="G485" s="4">
        <v>30000</v>
      </c>
      <c r="H485" t="s">
        <v>13</v>
      </c>
      <c r="I485" t="s">
        <v>18</v>
      </c>
      <c r="J485" t="s">
        <v>18</v>
      </c>
    </row>
    <row r="486" spans="1:10" x14ac:dyDescent="0.25">
      <c r="A486" t="s">
        <v>524</v>
      </c>
      <c r="B486" s="1">
        <v>45180</v>
      </c>
      <c r="C486" t="s">
        <v>16</v>
      </c>
      <c r="D486" t="s">
        <v>38</v>
      </c>
      <c r="E486" s="4">
        <v>4</v>
      </c>
      <c r="F486" s="4">
        <v>10000</v>
      </c>
      <c r="G486" s="4">
        <v>40000</v>
      </c>
      <c r="H486" t="s">
        <v>36</v>
      </c>
      <c r="I486" t="s">
        <v>14</v>
      </c>
      <c r="J486" t="s">
        <v>14</v>
      </c>
    </row>
    <row r="487" spans="1:10" x14ac:dyDescent="0.25">
      <c r="A487" t="s">
        <v>525</v>
      </c>
      <c r="B487" s="1">
        <v>44953</v>
      </c>
      <c r="C487" t="s">
        <v>42</v>
      </c>
      <c r="D487" t="s">
        <v>20</v>
      </c>
      <c r="E487" s="4">
        <v>4</v>
      </c>
      <c r="F487" s="4">
        <v>20000</v>
      </c>
      <c r="G487" s="4">
        <v>80000</v>
      </c>
      <c r="H487" t="s">
        <v>21</v>
      </c>
      <c r="I487" t="s">
        <v>25</v>
      </c>
      <c r="J487" t="s">
        <v>25</v>
      </c>
    </row>
    <row r="488" spans="1:10" x14ac:dyDescent="0.25">
      <c r="A488" t="s">
        <v>526</v>
      </c>
      <c r="B488" s="1">
        <v>45149</v>
      </c>
      <c r="C488" t="s">
        <v>42</v>
      </c>
      <c r="D488" t="s">
        <v>48</v>
      </c>
      <c r="E488" s="4">
        <v>3</v>
      </c>
      <c r="F488" s="4">
        <v>12500</v>
      </c>
      <c r="G488" s="4">
        <v>37500</v>
      </c>
      <c r="H488" t="s">
        <v>36</v>
      </c>
      <c r="I488" t="s">
        <v>62</v>
      </c>
      <c r="J488" t="s">
        <v>62</v>
      </c>
    </row>
    <row r="489" spans="1:10" x14ac:dyDescent="0.25">
      <c r="A489" t="s">
        <v>527</v>
      </c>
      <c r="B489" s="1">
        <v>45066</v>
      </c>
      <c r="C489" t="s">
        <v>68</v>
      </c>
      <c r="D489" t="s">
        <v>44</v>
      </c>
      <c r="E489" s="4">
        <v>3</v>
      </c>
      <c r="F489" s="4">
        <v>15000</v>
      </c>
      <c r="G489" s="4">
        <v>45000</v>
      </c>
      <c r="H489" t="s">
        <v>21</v>
      </c>
      <c r="I489" t="s">
        <v>18</v>
      </c>
      <c r="J489" t="s">
        <v>18</v>
      </c>
    </row>
    <row r="490" spans="1:10" x14ac:dyDescent="0.25">
      <c r="A490" t="s">
        <v>528</v>
      </c>
      <c r="B490" s="1">
        <v>45193</v>
      </c>
      <c r="C490" t="s">
        <v>32</v>
      </c>
      <c r="D490" t="s">
        <v>44</v>
      </c>
      <c r="E490" s="4">
        <v>3</v>
      </c>
      <c r="F490" s="4">
        <v>10000</v>
      </c>
      <c r="G490" s="4">
        <v>30000</v>
      </c>
      <c r="H490" t="s">
        <v>21</v>
      </c>
      <c r="I490" t="s">
        <v>27</v>
      </c>
      <c r="J490" t="s">
        <v>18</v>
      </c>
    </row>
    <row r="491" spans="1:10" x14ac:dyDescent="0.25">
      <c r="A491" t="s">
        <v>529</v>
      </c>
      <c r="B491" s="1">
        <v>45155</v>
      </c>
      <c r="C491" t="s">
        <v>32</v>
      </c>
      <c r="D491" t="s">
        <v>44</v>
      </c>
      <c r="E491" s="4">
        <v>2</v>
      </c>
      <c r="F491" s="4">
        <v>10000</v>
      </c>
      <c r="G491" s="4">
        <v>20000</v>
      </c>
      <c r="H491" t="s">
        <v>21</v>
      </c>
      <c r="I491" t="s">
        <v>14</v>
      </c>
      <c r="J491" t="s">
        <v>14</v>
      </c>
    </row>
    <row r="492" spans="1:10" x14ac:dyDescent="0.25">
      <c r="A492" t="s">
        <v>530</v>
      </c>
      <c r="B492" s="1">
        <v>45233</v>
      </c>
      <c r="C492" t="s">
        <v>29</v>
      </c>
      <c r="D492" t="s">
        <v>12</v>
      </c>
      <c r="E492" s="4">
        <v>3</v>
      </c>
      <c r="F492" s="4">
        <v>5000</v>
      </c>
      <c r="G492" s="4">
        <v>15000</v>
      </c>
      <c r="H492" t="s">
        <v>13</v>
      </c>
      <c r="I492" t="s">
        <v>25</v>
      </c>
      <c r="J492" t="s">
        <v>25</v>
      </c>
    </row>
    <row r="493" spans="1:10" x14ac:dyDescent="0.25">
      <c r="A493" t="s">
        <v>531</v>
      </c>
      <c r="B493" s="1">
        <v>45021</v>
      </c>
      <c r="C493" t="s">
        <v>35</v>
      </c>
      <c r="D493" t="s">
        <v>60</v>
      </c>
      <c r="E493" s="4">
        <v>3</v>
      </c>
      <c r="F493" s="4">
        <v>20000</v>
      </c>
      <c r="G493" s="4">
        <v>60000</v>
      </c>
      <c r="H493" t="s">
        <v>17</v>
      </c>
      <c r="I493" t="s">
        <v>25</v>
      </c>
      <c r="J493" t="s">
        <v>25</v>
      </c>
    </row>
    <row r="494" spans="1:10" x14ac:dyDescent="0.25">
      <c r="A494" t="s">
        <v>532</v>
      </c>
      <c r="B494" s="1">
        <v>44964</v>
      </c>
      <c r="C494" t="s">
        <v>35</v>
      </c>
      <c r="D494" t="s">
        <v>60</v>
      </c>
      <c r="E494" s="4">
        <v>1</v>
      </c>
      <c r="F494" s="4">
        <v>20000</v>
      </c>
      <c r="G494" s="4">
        <v>20000</v>
      </c>
      <c r="H494" t="s">
        <v>21</v>
      </c>
      <c r="I494" t="s">
        <v>27</v>
      </c>
      <c r="J494" t="s">
        <v>27</v>
      </c>
    </row>
    <row r="495" spans="1:10" x14ac:dyDescent="0.25">
      <c r="A495" t="s">
        <v>533</v>
      </c>
      <c r="B495" s="1">
        <v>45239</v>
      </c>
      <c r="C495" t="s">
        <v>42</v>
      </c>
      <c r="D495" t="s">
        <v>38</v>
      </c>
      <c r="E495" s="4">
        <v>2</v>
      </c>
      <c r="F495" s="4">
        <v>10000</v>
      </c>
      <c r="G495" s="4">
        <v>20000</v>
      </c>
      <c r="H495" t="s">
        <v>17</v>
      </c>
      <c r="I495" t="s">
        <v>14</v>
      </c>
      <c r="J495" t="s">
        <v>14</v>
      </c>
    </row>
    <row r="496" spans="1:10" x14ac:dyDescent="0.25">
      <c r="A496" t="s">
        <v>534</v>
      </c>
      <c r="B496" s="1">
        <v>44979</v>
      </c>
      <c r="C496" t="s">
        <v>32</v>
      </c>
      <c r="D496" t="s">
        <v>48</v>
      </c>
      <c r="E496" s="4">
        <v>1</v>
      </c>
      <c r="F496" s="4">
        <v>5000</v>
      </c>
      <c r="G496" s="4">
        <v>5000</v>
      </c>
      <c r="H496" t="s">
        <v>21</v>
      </c>
      <c r="I496" t="s">
        <v>25</v>
      </c>
      <c r="J496" t="s">
        <v>25</v>
      </c>
    </row>
    <row r="497" spans="1:10" x14ac:dyDescent="0.25">
      <c r="A497" t="s">
        <v>535</v>
      </c>
      <c r="B497" s="1">
        <v>45116</v>
      </c>
      <c r="C497" t="s">
        <v>55</v>
      </c>
      <c r="D497" t="s">
        <v>20</v>
      </c>
      <c r="E497" s="4">
        <v>3</v>
      </c>
      <c r="F497" s="4">
        <v>15000</v>
      </c>
      <c r="G497" s="4">
        <v>45000</v>
      </c>
      <c r="H497" t="s">
        <v>17</v>
      </c>
      <c r="I497" t="s">
        <v>18</v>
      </c>
      <c r="J497" t="s">
        <v>18</v>
      </c>
    </row>
    <row r="498" spans="1:10" x14ac:dyDescent="0.25">
      <c r="A498" t="s">
        <v>536</v>
      </c>
      <c r="B498" s="1">
        <v>45042</v>
      </c>
      <c r="C498" t="s">
        <v>42</v>
      </c>
      <c r="D498" t="s">
        <v>48</v>
      </c>
      <c r="E498" s="4">
        <v>4</v>
      </c>
      <c r="F498" s="4">
        <v>10000</v>
      </c>
      <c r="G498" s="4">
        <v>40000</v>
      </c>
      <c r="H498" t="s">
        <v>17</v>
      </c>
      <c r="I498" t="s">
        <v>18</v>
      </c>
      <c r="J498" t="s">
        <v>18</v>
      </c>
    </row>
    <row r="499" spans="1:10" x14ac:dyDescent="0.25">
      <c r="A499" t="s">
        <v>537</v>
      </c>
      <c r="B499" s="1">
        <v>45258</v>
      </c>
      <c r="C499" t="s">
        <v>35</v>
      </c>
      <c r="D499" t="s">
        <v>12</v>
      </c>
      <c r="E499" s="4">
        <v>3</v>
      </c>
      <c r="F499" s="4">
        <v>15000</v>
      </c>
      <c r="G499" s="4">
        <v>45000</v>
      </c>
      <c r="H499" t="s">
        <v>17</v>
      </c>
      <c r="I499" t="s">
        <v>27</v>
      </c>
      <c r="J499" t="s">
        <v>25</v>
      </c>
    </row>
    <row r="500" spans="1:10" x14ac:dyDescent="0.25">
      <c r="A500" t="s">
        <v>538</v>
      </c>
      <c r="B500" s="1">
        <v>45116</v>
      </c>
      <c r="C500" t="s">
        <v>23</v>
      </c>
      <c r="D500" t="s">
        <v>38</v>
      </c>
      <c r="E500" s="4">
        <v>1</v>
      </c>
      <c r="F500" s="4">
        <v>10000</v>
      </c>
      <c r="G500" s="4">
        <v>10000</v>
      </c>
      <c r="H500" t="s">
        <v>21</v>
      </c>
      <c r="I500" t="s">
        <v>25</v>
      </c>
      <c r="J500" t="s">
        <v>25</v>
      </c>
    </row>
    <row r="501" spans="1:10" x14ac:dyDescent="0.25">
      <c r="A501" t="s">
        <v>539</v>
      </c>
      <c r="B501" s="1">
        <v>45099</v>
      </c>
      <c r="C501" t="s">
        <v>11</v>
      </c>
      <c r="D501" t="s">
        <v>48</v>
      </c>
      <c r="E501" s="4">
        <v>4</v>
      </c>
      <c r="F501" s="4">
        <v>5000</v>
      </c>
      <c r="G501" s="4">
        <v>20000</v>
      </c>
      <c r="H501" t="s">
        <v>36</v>
      </c>
      <c r="I501" t="s">
        <v>18</v>
      </c>
      <c r="J501" t="s">
        <v>18</v>
      </c>
    </row>
    <row r="502" spans="1:10" x14ac:dyDescent="0.25">
      <c r="A502" t="s">
        <v>540</v>
      </c>
      <c r="B502" s="1">
        <v>44936</v>
      </c>
      <c r="C502" t="s">
        <v>11</v>
      </c>
      <c r="D502" t="s">
        <v>24</v>
      </c>
      <c r="E502" s="4">
        <v>5</v>
      </c>
      <c r="F502" s="4">
        <v>5000</v>
      </c>
      <c r="G502" s="4">
        <v>25000</v>
      </c>
      <c r="H502" t="s">
        <v>13</v>
      </c>
      <c r="I502" t="s">
        <v>27</v>
      </c>
      <c r="J502" t="s">
        <v>27</v>
      </c>
    </row>
    <row r="503" spans="1:10" x14ac:dyDescent="0.25">
      <c r="A503" t="s">
        <v>541</v>
      </c>
      <c r="B503" s="1">
        <v>45229</v>
      </c>
      <c r="C503" t="s">
        <v>16</v>
      </c>
      <c r="D503" t="s">
        <v>12</v>
      </c>
      <c r="E503" s="4">
        <v>1</v>
      </c>
      <c r="F503" s="4">
        <v>5000</v>
      </c>
      <c r="G503" s="4">
        <v>5000</v>
      </c>
      <c r="H503" t="s">
        <v>13</v>
      </c>
      <c r="I503" t="s">
        <v>27</v>
      </c>
      <c r="J503" t="s">
        <v>27</v>
      </c>
    </row>
    <row r="504" spans="1:10" x14ac:dyDescent="0.25">
      <c r="A504" t="s">
        <v>542</v>
      </c>
      <c r="B504" s="1">
        <v>45277</v>
      </c>
      <c r="C504" t="s">
        <v>75</v>
      </c>
      <c r="D504" t="s">
        <v>50</v>
      </c>
      <c r="E504" s="4">
        <v>5</v>
      </c>
      <c r="F504" s="4">
        <v>10000</v>
      </c>
      <c r="G504" s="4">
        <v>50000</v>
      </c>
      <c r="H504" t="s">
        <v>13</v>
      </c>
      <c r="I504" t="s">
        <v>27</v>
      </c>
      <c r="J504" t="s">
        <v>27</v>
      </c>
    </row>
    <row r="505" spans="1:10" x14ac:dyDescent="0.25">
      <c r="A505" t="s">
        <v>543</v>
      </c>
      <c r="B505" s="1">
        <v>45116</v>
      </c>
      <c r="C505" t="s">
        <v>23</v>
      </c>
      <c r="D505" t="s">
        <v>33</v>
      </c>
      <c r="E505" s="4">
        <v>2</v>
      </c>
      <c r="F505" s="4">
        <v>20000</v>
      </c>
      <c r="G505" s="4">
        <v>40000</v>
      </c>
      <c r="H505" t="s">
        <v>17</v>
      </c>
      <c r="I505" t="s">
        <v>14</v>
      </c>
      <c r="J505" t="s">
        <v>14</v>
      </c>
    </row>
    <row r="506" spans="1:10" x14ac:dyDescent="0.25">
      <c r="A506" t="s">
        <v>544</v>
      </c>
      <c r="B506" s="1">
        <v>44968</v>
      </c>
      <c r="C506" t="s">
        <v>55</v>
      </c>
      <c r="D506" t="s">
        <v>48</v>
      </c>
      <c r="E506" s="4">
        <v>1</v>
      </c>
      <c r="F506" s="4">
        <v>10000</v>
      </c>
      <c r="G506" s="4">
        <v>10000</v>
      </c>
      <c r="H506" t="s">
        <v>21</v>
      </c>
      <c r="I506" t="s">
        <v>25</v>
      </c>
      <c r="J506" t="s">
        <v>25</v>
      </c>
    </row>
    <row r="507" spans="1:10" x14ac:dyDescent="0.25">
      <c r="A507" t="s">
        <v>545</v>
      </c>
      <c r="B507" s="1">
        <v>45116</v>
      </c>
      <c r="C507" t="s">
        <v>75</v>
      </c>
      <c r="D507" t="s">
        <v>50</v>
      </c>
      <c r="E507" s="4">
        <v>3</v>
      </c>
      <c r="F507" s="4">
        <v>5000</v>
      </c>
      <c r="G507" s="4">
        <v>15000</v>
      </c>
      <c r="H507" t="s">
        <v>13</v>
      </c>
      <c r="I507" t="s">
        <v>25</v>
      </c>
      <c r="J507" t="s">
        <v>25</v>
      </c>
    </row>
    <row r="508" spans="1:10" x14ac:dyDescent="0.25">
      <c r="A508" t="s">
        <v>546</v>
      </c>
      <c r="B508" s="1">
        <v>45047</v>
      </c>
      <c r="C508" t="s">
        <v>42</v>
      </c>
      <c r="D508" t="s">
        <v>30</v>
      </c>
      <c r="E508" s="4">
        <v>1</v>
      </c>
      <c r="F508" s="4">
        <v>15000</v>
      </c>
      <c r="G508" s="4">
        <v>15000</v>
      </c>
      <c r="H508" t="s">
        <v>21</v>
      </c>
      <c r="I508" t="s">
        <v>18</v>
      </c>
      <c r="J508" t="s">
        <v>18</v>
      </c>
    </row>
    <row r="509" spans="1:10" x14ac:dyDescent="0.25">
      <c r="A509" t="s">
        <v>547</v>
      </c>
      <c r="B509" s="1">
        <v>45003</v>
      </c>
      <c r="C509" t="s">
        <v>29</v>
      </c>
      <c r="D509" t="s">
        <v>24</v>
      </c>
      <c r="E509" s="4">
        <v>4</v>
      </c>
      <c r="F509" s="4">
        <v>10000</v>
      </c>
      <c r="G509" s="4">
        <v>40000</v>
      </c>
      <c r="H509" t="s">
        <v>17</v>
      </c>
      <c r="I509" t="s">
        <v>27</v>
      </c>
      <c r="J509" t="s">
        <v>27</v>
      </c>
    </row>
    <row r="510" spans="1:10" x14ac:dyDescent="0.25">
      <c r="A510" t="s">
        <v>548</v>
      </c>
      <c r="B510" s="1">
        <v>45159</v>
      </c>
      <c r="C510" t="s">
        <v>32</v>
      </c>
      <c r="D510" t="s">
        <v>48</v>
      </c>
      <c r="E510" s="4">
        <v>1</v>
      </c>
      <c r="F510" s="4">
        <v>10000</v>
      </c>
      <c r="G510" s="4">
        <v>10000</v>
      </c>
      <c r="H510" t="s">
        <v>13</v>
      </c>
      <c r="I510" t="s">
        <v>14</v>
      </c>
      <c r="J510" t="s">
        <v>14</v>
      </c>
    </row>
    <row r="511" spans="1:10" x14ac:dyDescent="0.25">
      <c r="A511" t="s">
        <v>549</v>
      </c>
      <c r="B511" s="1">
        <v>45093</v>
      </c>
      <c r="C511" t="s">
        <v>23</v>
      </c>
      <c r="D511" t="s">
        <v>38</v>
      </c>
      <c r="E511" s="4">
        <v>2</v>
      </c>
      <c r="F511" s="4">
        <v>10000</v>
      </c>
      <c r="G511" s="4">
        <v>20000</v>
      </c>
      <c r="H511" t="s">
        <v>21</v>
      </c>
      <c r="I511" t="s">
        <v>14</v>
      </c>
      <c r="J511" t="s">
        <v>14</v>
      </c>
    </row>
    <row r="512" spans="1:10" x14ac:dyDescent="0.25">
      <c r="A512" t="s">
        <v>550</v>
      </c>
      <c r="B512" s="1">
        <v>45039</v>
      </c>
      <c r="C512" t="s">
        <v>11</v>
      </c>
      <c r="D512" t="s">
        <v>12</v>
      </c>
      <c r="E512" s="4">
        <v>4</v>
      </c>
      <c r="F512" s="4">
        <v>15000</v>
      </c>
      <c r="G512" s="4">
        <v>60000</v>
      </c>
      <c r="H512" t="s">
        <v>17</v>
      </c>
      <c r="I512" t="s">
        <v>25</v>
      </c>
      <c r="J512" t="s">
        <v>25</v>
      </c>
    </row>
    <row r="513" spans="1:10" x14ac:dyDescent="0.25">
      <c r="A513" t="s">
        <v>551</v>
      </c>
      <c r="B513" s="1">
        <v>45026</v>
      </c>
      <c r="C513" t="s">
        <v>75</v>
      </c>
      <c r="D513" t="s">
        <v>44</v>
      </c>
      <c r="E513" s="4">
        <v>3</v>
      </c>
      <c r="F513" s="4">
        <v>10000</v>
      </c>
      <c r="G513" s="4">
        <v>30000</v>
      </c>
      <c r="H513" t="s">
        <v>13</v>
      </c>
      <c r="I513" t="s">
        <v>27</v>
      </c>
      <c r="J513" t="s">
        <v>27</v>
      </c>
    </row>
    <row r="514" spans="1:10" x14ac:dyDescent="0.25">
      <c r="A514" t="s">
        <v>552</v>
      </c>
      <c r="B514" s="1">
        <v>45102</v>
      </c>
      <c r="C514" t="s">
        <v>42</v>
      </c>
      <c r="D514" t="s">
        <v>30</v>
      </c>
      <c r="E514" s="4">
        <v>3</v>
      </c>
      <c r="F514" s="4">
        <v>15000</v>
      </c>
      <c r="G514" s="4">
        <v>45000</v>
      </c>
      <c r="H514" t="s">
        <v>13</v>
      </c>
      <c r="I514" t="s">
        <v>18</v>
      </c>
      <c r="J514" t="s">
        <v>18</v>
      </c>
    </row>
    <row r="515" spans="1:10" x14ac:dyDescent="0.25">
      <c r="A515" t="s">
        <v>553</v>
      </c>
      <c r="B515" s="1">
        <v>45229</v>
      </c>
      <c r="C515" t="s">
        <v>16</v>
      </c>
      <c r="D515" t="s">
        <v>24</v>
      </c>
      <c r="E515" s="4">
        <v>4</v>
      </c>
      <c r="F515" s="4">
        <v>15000</v>
      </c>
      <c r="G515" s="4">
        <v>60000</v>
      </c>
      <c r="H515" t="s">
        <v>36</v>
      </c>
      <c r="I515" t="s">
        <v>14</v>
      </c>
      <c r="J515" t="s">
        <v>14</v>
      </c>
    </row>
    <row r="516" spans="1:10" x14ac:dyDescent="0.25">
      <c r="A516" t="s">
        <v>554</v>
      </c>
      <c r="B516" s="1">
        <v>45116</v>
      </c>
      <c r="C516" t="s">
        <v>32</v>
      </c>
      <c r="D516" t="s">
        <v>48</v>
      </c>
      <c r="E516" s="4">
        <v>4</v>
      </c>
      <c r="F516" s="4">
        <v>5000</v>
      </c>
      <c r="G516" s="4">
        <v>20000</v>
      </c>
      <c r="H516" t="s">
        <v>36</v>
      </c>
      <c r="I516" t="s">
        <v>18</v>
      </c>
      <c r="J516" t="s">
        <v>18</v>
      </c>
    </row>
    <row r="517" spans="1:10" x14ac:dyDescent="0.25">
      <c r="A517" t="s">
        <v>555</v>
      </c>
      <c r="B517" s="1">
        <v>45009</v>
      </c>
      <c r="C517" t="s">
        <v>55</v>
      </c>
      <c r="D517" t="s">
        <v>24</v>
      </c>
      <c r="E517" s="4">
        <v>5</v>
      </c>
      <c r="F517" s="4">
        <v>10000</v>
      </c>
      <c r="G517" s="4">
        <v>50000</v>
      </c>
      <c r="H517" t="s">
        <v>17</v>
      </c>
      <c r="I517" t="s">
        <v>25</v>
      </c>
      <c r="J517" t="s">
        <v>25</v>
      </c>
    </row>
    <row r="518" spans="1:10" x14ac:dyDescent="0.25">
      <c r="A518" t="s">
        <v>556</v>
      </c>
      <c r="B518" s="1">
        <v>45164</v>
      </c>
      <c r="C518" t="s">
        <v>32</v>
      </c>
      <c r="D518" t="s">
        <v>48</v>
      </c>
      <c r="E518" s="4">
        <v>3</v>
      </c>
      <c r="F518" s="4">
        <v>5000</v>
      </c>
      <c r="G518" s="4">
        <v>15000</v>
      </c>
      <c r="H518" t="s">
        <v>21</v>
      </c>
      <c r="I518" t="s">
        <v>18</v>
      </c>
      <c r="J518" t="s">
        <v>18</v>
      </c>
    </row>
    <row r="519" spans="1:10" x14ac:dyDescent="0.25">
      <c r="A519" t="s">
        <v>557</v>
      </c>
      <c r="B519" s="1">
        <v>45116</v>
      </c>
      <c r="C519" t="s">
        <v>29</v>
      </c>
      <c r="D519" t="s">
        <v>12</v>
      </c>
      <c r="E519" s="4">
        <v>5</v>
      </c>
      <c r="F519" s="4">
        <v>15000</v>
      </c>
      <c r="G519" s="4">
        <v>75000</v>
      </c>
      <c r="H519" t="s">
        <v>17</v>
      </c>
      <c r="I519" t="s">
        <v>18</v>
      </c>
      <c r="J519" t="s">
        <v>18</v>
      </c>
    </row>
    <row r="520" spans="1:10" x14ac:dyDescent="0.25">
      <c r="A520" t="s">
        <v>558</v>
      </c>
      <c r="B520" s="1">
        <v>45114</v>
      </c>
      <c r="C520" t="s">
        <v>16</v>
      </c>
      <c r="D520" t="s">
        <v>20</v>
      </c>
      <c r="E520" s="4">
        <v>3</v>
      </c>
      <c r="F520" s="4">
        <v>15000</v>
      </c>
      <c r="G520" s="4">
        <v>45000</v>
      </c>
      <c r="H520" t="s">
        <v>17</v>
      </c>
      <c r="I520" t="s">
        <v>18</v>
      </c>
      <c r="J520" t="s">
        <v>18</v>
      </c>
    </row>
    <row r="521" spans="1:10" x14ac:dyDescent="0.25">
      <c r="A521" t="s">
        <v>559</v>
      </c>
      <c r="B521" s="1">
        <v>45224</v>
      </c>
      <c r="C521" t="s">
        <v>35</v>
      </c>
      <c r="D521" t="s">
        <v>30</v>
      </c>
      <c r="E521" s="4">
        <v>3</v>
      </c>
      <c r="F521" s="4">
        <v>12500</v>
      </c>
      <c r="G521" s="4">
        <v>37500</v>
      </c>
      <c r="H521" t="s">
        <v>21</v>
      </c>
      <c r="I521" t="s">
        <v>62</v>
      </c>
      <c r="J521" t="s">
        <v>62</v>
      </c>
    </row>
    <row r="522" spans="1:10" x14ac:dyDescent="0.25">
      <c r="A522" t="s">
        <v>560</v>
      </c>
      <c r="B522" s="1">
        <v>45183</v>
      </c>
      <c r="C522" t="s">
        <v>75</v>
      </c>
      <c r="D522" t="s">
        <v>33</v>
      </c>
      <c r="E522" s="4">
        <v>1</v>
      </c>
      <c r="F522" s="4">
        <v>20000</v>
      </c>
      <c r="G522" s="4">
        <v>20000</v>
      </c>
      <c r="H522" t="s">
        <v>21</v>
      </c>
      <c r="I522" t="s">
        <v>25</v>
      </c>
      <c r="J522" t="s">
        <v>25</v>
      </c>
    </row>
    <row r="523" spans="1:10" x14ac:dyDescent="0.25">
      <c r="A523" t="s">
        <v>561</v>
      </c>
      <c r="B523" s="1">
        <v>45023</v>
      </c>
      <c r="C523" t="s">
        <v>23</v>
      </c>
      <c r="D523" t="s">
        <v>24</v>
      </c>
      <c r="E523" s="4">
        <v>1</v>
      </c>
      <c r="F523" s="4">
        <v>5000</v>
      </c>
      <c r="G523" s="4">
        <v>5000</v>
      </c>
      <c r="H523" t="s">
        <v>13</v>
      </c>
      <c r="I523" t="s">
        <v>62</v>
      </c>
      <c r="J523" t="s">
        <v>62</v>
      </c>
    </row>
    <row r="524" spans="1:10" x14ac:dyDescent="0.25">
      <c r="A524" t="s">
        <v>562</v>
      </c>
      <c r="B524" s="1">
        <v>45116</v>
      </c>
      <c r="C524" t="s">
        <v>66</v>
      </c>
      <c r="D524" t="s">
        <v>48</v>
      </c>
      <c r="E524" s="4">
        <v>3</v>
      </c>
      <c r="F524" s="4">
        <v>20000</v>
      </c>
      <c r="G524" s="4">
        <v>60000</v>
      </c>
      <c r="H524" t="s">
        <v>13</v>
      </c>
      <c r="I524" t="s">
        <v>27</v>
      </c>
      <c r="J524" t="s">
        <v>25</v>
      </c>
    </row>
    <row r="525" spans="1:10" x14ac:dyDescent="0.25">
      <c r="A525" t="s">
        <v>563</v>
      </c>
      <c r="B525" s="1">
        <v>45045</v>
      </c>
      <c r="C525" t="s">
        <v>55</v>
      </c>
      <c r="D525" t="s">
        <v>33</v>
      </c>
      <c r="E525" s="4">
        <v>3</v>
      </c>
      <c r="F525" s="4">
        <v>15000</v>
      </c>
      <c r="G525" s="4">
        <v>45000</v>
      </c>
      <c r="H525" t="s">
        <v>21</v>
      </c>
      <c r="I525" t="s">
        <v>62</v>
      </c>
      <c r="J525" t="s">
        <v>62</v>
      </c>
    </row>
    <row r="526" spans="1:10" x14ac:dyDescent="0.25">
      <c r="A526" t="s">
        <v>564</v>
      </c>
      <c r="B526" s="1">
        <v>44994</v>
      </c>
      <c r="C526" t="s">
        <v>66</v>
      </c>
      <c r="D526" t="s">
        <v>60</v>
      </c>
      <c r="E526" s="4">
        <v>2</v>
      </c>
      <c r="F526" s="4">
        <v>12500</v>
      </c>
      <c r="G526" s="4">
        <v>25000</v>
      </c>
      <c r="H526" t="s">
        <v>13</v>
      </c>
      <c r="I526" t="s">
        <v>27</v>
      </c>
      <c r="J526" t="s">
        <v>25</v>
      </c>
    </row>
    <row r="527" spans="1:10" x14ac:dyDescent="0.25">
      <c r="A527" t="s">
        <v>565</v>
      </c>
      <c r="B527" s="1">
        <v>45012</v>
      </c>
      <c r="C527" t="s">
        <v>11</v>
      </c>
      <c r="D527" t="s">
        <v>50</v>
      </c>
      <c r="E527" s="4">
        <v>2</v>
      </c>
      <c r="F527" s="4">
        <v>10000</v>
      </c>
      <c r="G527" s="4">
        <v>20000</v>
      </c>
      <c r="H527" t="s">
        <v>21</v>
      </c>
      <c r="I527" t="s">
        <v>14</v>
      </c>
      <c r="J527" t="s">
        <v>14</v>
      </c>
    </row>
    <row r="528" spans="1:10" x14ac:dyDescent="0.25">
      <c r="A528" t="s">
        <v>566</v>
      </c>
      <c r="B528" s="1">
        <v>44948</v>
      </c>
      <c r="C528" t="s">
        <v>11</v>
      </c>
      <c r="D528" t="s">
        <v>44</v>
      </c>
      <c r="E528" s="4">
        <v>5</v>
      </c>
      <c r="F528" s="4">
        <v>10000</v>
      </c>
      <c r="G528" s="4">
        <v>50000</v>
      </c>
      <c r="H528" t="s">
        <v>21</v>
      </c>
      <c r="I528" t="s">
        <v>62</v>
      </c>
      <c r="J528" t="s">
        <v>62</v>
      </c>
    </row>
    <row r="529" spans="1:10" x14ac:dyDescent="0.25">
      <c r="A529" t="s">
        <v>567</v>
      </c>
      <c r="B529" s="1">
        <v>45156</v>
      </c>
      <c r="C529" t="s">
        <v>68</v>
      </c>
      <c r="D529" t="s">
        <v>33</v>
      </c>
      <c r="E529" s="4">
        <v>2</v>
      </c>
      <c r="F529" s="4">
        <v>15000</v>
      </c>
      <c r="G529" s="4">
        <v>30000</v>
      </c>
      <c r="H529" t="s">
        <v>17</v>
      </c>
      <c r="I529" t="s">
        <v>27</v>
      </c>
      <c r="J529" t="s">
        <v>27</v>
      </c>
    </row>
    <row r="530" spans="1:10" x14ac:dyDescent="0.25">
      <c r="A530" t="s">
        <v>568</v>
      </c>
      <c r="B530" s="1">
        <v>45206</v>
      </c>
      <c r="C530" t="s">
        <v>35</v>
      </c>
      <c r="D530" t="s">
        <v>33</v>
      </c>
      <c r="E530" s="4">
        <v>3</v>
      </c>
      <c r="F530" s="4">
        <v>10000</v>
      </c>
      <c r="G530" s="4">
        <v>30000</v>
      </c>
      <c r="H530" t="s">
        <v>21</v>
      </c>
      <c r="I530" t="s">
        <v>25</v>
      </c>
      <c r="J530" t="s">
        <v>25</v>
      </c>
    </row>
    <row r="531" spans="1:10" x14ac:dyDescent="0.25">
      <c r="A531" t="s">
        <v>569</v>
      </c>
      <c r="B531" s="1">
        <v>45153</v>
      </c>
      <c r="C531" t="s">
        <v>11</v>
      </c>
      <c r="D531" t="s">
        <v>44</v>
      </c>
      <c r="E531" s="4">
        <v>3</v>
      </c>
      <c r="F531" s="4">
        <v>5000</v>
      </c>
      <c r="G531" s="4">
        <v>15000</v>
      </c>
      <c r="H531" t="s">
        <v>36</v>
      </c>
      <c r="I531" t="s">
        <v>27</v>
      </c>
      <c r="J531" t="s">
        <v>27</v>
      </c>
    </row>
    <row r="532" spans="1:10" x14ac:dyDescent="0.25">
      <c r="A532" t="s">
        <v>570</v>
      </c>
      <c r="B532" s="1">
        <v>45109</v>
      </c>
      <c r="C532" t="s">
        <v>42</v>
      </c>
      <c r="D532" t="s">
        <v>12</v>
      </c>
      <c r="E532" s="4">
        <v>3</v>
      </c>
      <c r="F532" s="4">
        <v>5000</v>
      </c>
      <c r="G532" s="4">
        <v>15000</v>
      </c>
      <c r="H532" t="s">
        <v>13</v>
      </c>
      <c r="I532" t="s">
        <v>18</v>
      </c>
      <c r="J532" t="s">
        <v>18</v>
      </c>
    </row>
    <row r="533" spans="1:10" x14ac:dyDescent="0.25">
      <c r="A533" t="s">
        <v>571</v>
      </c>
      <c r="B533" s="1">
        <v>45155</v>
      </c>
      <c r="C533" t="s">
        <v>75</v>
      </c>
      <c r="D533" t="s">
        <v>12</v>
      </c>
      <c r="E533" s="4">
        <v>5</v>
      </c>
      <c r="F533" s="4">
        <v>20000</v>
      </c>
      <c r="G533" s="4">
        <v>100000</v>
      </c>
      <c r="H533" t="s">
        <v>36</v>
      </c>
      <c r="I533" t="s">
        <v>62</v>
      </c>
      <c r="J533" t="s">
        <v>62</v>
      </c>
    </row>
    <row r="534" spans="1:10" x14ac:dyDescent="0.25">
      <c r="A534" t="s">
        <v>572</v>
      </c>
      <c r="B534" s="1">
        <v>45145</v>
      </c>
      <c r="C534" t="s">
        <v>66</v>
      </c>
      <c r="D534" t="s">
        <v>44</v>
      </c>
      <c r="E534" s="4">
        <v>4</v>
      </c>
      <c r="F534" s="4">
        <v>15000</v>
      </c>
      <c r="G534" s="4">
        <v>60000</v>
      </c>
      <c r="H534" t="s">
        <v>21</v>
      </c>
      <c r="I534" t="s">
        <v>62</v>
      </c>
      <c r="J534" t="s">
        <v>62</v>
      </c>
    </row>
    <row r="535" spans="1:10" x14ac:dyDescent="0.25">
      <c r="A535" t="s">
        <v>573</v>
      </c>
      <c r="B535" s="1">
        <v>45139</v>
      </c>
      <c r="C535" t="s">
        <v>11</v>
      </c>
      <c r="D535" t="s">
        <v>24</v>
      </c>
      <c r="E535" s="4">
        <v>3</v>
      </c>
      <c r="F535" s="4">
        <v>10000</v>
      </c>
      <c r="G535" s="4">
        <v>30000</v>
      </c>
      <c r="H535" t="s">
        <v>36</v>
      </c>
      <c r="I535" t="s">
        <v>25</v>
      </c>
      <c r="J535" t="s">
        <v>25</v>
      </c>
    </row>
    <row r="536" spans="1:10" x14ac:dyDescent="0.25">
      <c r="A536" t="s">
        <v>574</v>
      </c>
      <c r="B536" s="1">
        <v>45195</v>
      </c>
      <c r="C536" t="s">
        <v>68</v>
      </c>
      <c r="D536" t="s">
        <v>44</v>
      </c>
      <c r="E536" s="4">
        <v>1</v>
      </c>
      <c r="F536" s="4">
        <v>15000</v>
      </c>
      <c r="G536" s="4">
        <v>15000</v>
      </c>
      <c r="H536" t="s">
        <v>17</v>
      </c>
      <c r="I536" t="s">
        <v>27</v>
      </c>
      <c r="J536" t="s">
        <v>27</v>
      </c>
    </row>
    <row r="537" spans="1:10" x14ac:dyDescent="0.25">
      <c r="A537" t="s">
        <v>575</v>
      </c>
      <c r="B537" s="1">
        <v>44997</v>
      </c>
      <c r="C537" t="s">
        <v>55</v>
      </c>
      <c r="D537" t="s">
        <v>30</v>
      </c>
      <c r="E537" s="4">
        <v>2</v>
      </c>
      <c r="F537" s="4">
        <v>12500</v>
      </c>
      <c r="G537" s="4">
        <v>25000</v>
      </c>
      <c r="H537" t="s">
        <v>21</v>
      </c>
      <c r="I537" t="s">
        <v>18</v>
      </c>
      <c r="J537" t="s">
        <v>18</v>
      </c>
    </row>
    <row r="538" spans="1:10" x14ac:dyDescent="0.25">
      <c r="A538" t="s">
        <v>576</v>
      </c>
      <c r="B538" s="1">
        <v>45164</v>
      </c>
      <c r="C538" t="s">
        <v>35</v>
      </c>
      <c r="D538" t="s">
        <v>30</v>
      </c>
      <c r="E538" s="4">
        <v>1</v>
      </c>
      <c r="F538" s="4">
        <v>12500</v>
      </c>
      <c r="G538" s="4">
        <v>12500</v>
      </c>
      <c r="H538" t="s">
        <v>13</v>
      </c>
      <c r="I538" t="s">
        <v>62</v>
      </c>
      <c r="J538" t="s">
        <v>62</v>
      </c>
    </row>
    <row r="539" spans="1:10" x14ac:dyDescent="0.25">
      <c r="A539" t="s">
        <v>577</v>
      </c>
      <c r="B539" s="1">
        <v>45140</v>
      </c>
      <c r="C539" t="s">
        <v>23</v>
      </c>
      <c r="D539" t="s">
        <v>20</v>
      </c>
      <c r="E539" s="4">
        <v>4</v>
      </c>
      <c r="F539" s="4">
        <v>10000</v>
      </c>
      <c r="G539" s="4">
        <v>40000</v>
      </c>
      <c r="H539" t="s">
        <v>13</v>
      </c>
      <c r="I539" t="s">
        <v>27</v>
      </c>
      <c r="J539" t="s">
        <v>27</v>
      </c>
    </row>
    <row r="540" spans="1:10" x14ac:dyDescent="0.25">
      <c r="A540" t="s">
        <v>578</v>
      </c>
      <c r="B540" s="1">
        <v>45116</v>
      </c>
      <c r="C540" t="s">
        <v>66</v>
      </c>
      <c r="D540" t="s">
        <v>50</v>
      </c>
      <c r="E540" s="4">
        <v>4</v>
      </c>
      <c r="F540" s="4">
        <v>12500</v>
      </c>
      <c r="G540" s="4">
        <v>50000</v>
      </c>
      <c r="H540" t="s">
        <v>36</v>
      </c>
      <c r="I540" t="s">
        <v>27</v>
      </c>
      <c r="J540" t="s">
        <v>27</v>
      </c>
    </row>
    <row r="541" spans="1:10" x14ac:dyDescent="0.25">
      <c r="A541" t="s">
        <v>579</v>
      </c>
      <c r="B541" s="1">
        <v>45090</v>
      </c>
      <c r="C541" t="s">
        <v>35</v>
      </c>
      <c r="D541" t="s">
        <v>24</v>
      </c>
      <c r="E541" s="4">
        <v>3</v>
      </c>
      <c r="F541" s="4">
        <v>10000</v>
      </c>
      <c r="G541" s="4">
        <v>30000</v>
      </c>
      <c r="H541" t="s">
        <v>13</v>
      </c>
      <c r="I541" t="s">
        <v>27</v>
      </c>
      <c r="J541" t="s">
        <v>27</v>
      </c>
    </row>
    <row r="542" spans="1:10" x14ac:dyDescent="0.25">
      <c r="A542" t="s">
        <v>580</v>
      </c>
      <c r="B542" s="1">
        <v>45254</v>
      </c>
      <c r="C542" t="s">
        <v>75</v>
      </c>
      <c r="D542" t="s">
        <v>12</v>
      </c>
      <c r="E542" s="4">
        <v>5</v>
      </c>
      <c r="F542" s="4">
        <v>10000</v>
      </c>
      <c r="G542" s="4">
        <v>50000</v>
      </c>
      <c r="H542" t="s">
        <v>13</v>
      </c>
      <c r="I542" t="s">
        <v>27</v>
      </c>
      <c r="J542" t="s">
        <v>27</v>
      </c>
    </row>
    <row r="543" spans="1:10" x14ac:dyDescent="0.25">
      <c r="A543" t="s">
        <v>581</v>
      </c>
      <c r="B543" s="1">
        <v>45081</v>
      </c>
      <c r="C543" t="s">
        <v>42</v>
      </c>
      <c r="D543" t="s">
        <v>60</v>
      </c>
      <c r="E543" s="4">
        <v>3</v>
      </c>
      <c r="F543" s="4">
        <v>10000</v>
      </c>
      <c r="G543" s="4">
        <v>30000</v>
      </c>
      <c r="H543" t="s">
        <v>21</v>
      </c>
      <c r="I543" t="s">
        <v>27</v>
      </c>
      <c r="J543" t="s">
        <v>27</v>
      </c>
    </row>
    <row r="544" spans="1:10" x14ac:dyDescent="0.25">
      <c r="A544" t="s">
        <v>582</v>
      </c>
      <c r="B544" s="1">
        <v>45175</v>
      </c>
      <c r="C544" t="s">
        <v>42</v>
      </c>
      <c r="D544" t="s">
        <v>38</v>
      </c>
      <c r="E544" s="4">
        <v>3</v>
      </c>
      <c r="F544" s="4">
        <v>10000</v>
      </c>
      <c r="G544" s="4">
        <v>30000</v>
      </c>
      <c r="H544" t="s">
        <v>13</v>
      </c>
      <c r="I544" t="s">
        <v>14</v>
      </c>
      <c r="J544" t="s">
        <v>14</v>
      </c>
    </row>
    <row r="545" spans="1:10" x14ac:dyDescent="0.25">
      <c r="A545" t="s">
        <v>583</v>
      </c>
      <c r="B545" s="1">
        <v>45280</v>
      </c>
      <c r="C545" t="s">
        <v>35</v>
      </c>
      <c r="D545" t="s">
        <v>44</v>
      </c>
      <c r="E545" s="4">
        <v>2</v>
      </c>
      <c r="F545" s="4">
        <v>12500</v>
      </c>
      <c r="G545" s="4">
        <v>25000</v>
      </c>
      <c r="H545" t="s">
        <v>21</v>
      </c>
      <c r="I545" t="s">
        <v>14</v>
      </c>
      <c r="J545" t="s">
        <v>14</v>
      </c>
    </row>
    <row r="546" spans="1:10" x14ac:dyDescent="0.25">
      <c r="A546" t="s">
        <v>584</v>
      </c>
      <c r="B546" s="1">
        <v>45043</v>
      </c>
      <c r="C546" t="s">
        <v>23</v>
      </c>
      <c r="D546" t="s">
        <v>60</v>
      </c>
      <c r="E546" s="4">
        <v>2</v>
      </c>
      <c r="F546" s="4">
        <v>10000</v>
      </c>
      <c r="G546" s="4">
        <v>20000</v>
      </c>
      <c r="H546" t="s">
        <v>17</v>
      </c>
      <c r="I546" t="s">
        <v>25</v>
      </c>
      <c r="J546" t="s">
        <v>25</v>
      </c>
    </row>
    <row r="547" spans="1:10" x14ac:dyDescent="0.25">
      <c r="A547" t="s">
        <v>585</v>
      </c>
      <c r="B547" s="1">
        <v>45264</v>
      </c>
      <c r="C547" t="s">
        <v>32</v>
      </c>
      <c r="D547" t="s">
        <v>33</v>
      </c>
      <c r="E547" s="4">
        <v>5</v>
      </c>
      <c r="F547" s="4">
        <v>5000</v>
      </c>
      <c r="G547" s="4">
        <v>25000</v>
      </c>
      <c r="H547" t="s">
        <v>17</v>
      </c>
      <c r="I547" t="s">
        <v>62</v>
      </c>
      <c r="J547" t="s">
        <v>62</v>
      </c>
    </row>
    <row r="548" spans="1:10" x14ac:dyDescent="0.25">
      <c r="A548" t="s">
        <v>586</v>
      </c>
      <c r="B548" s="1">
        <v>45032</v>
      </c>
      <c r="C548" t="s">
        <v>23</v>
      </c>
      <c r="D548" t="s">
        <v>50</v>
      </c>
      <c r="E548" s="4">
        <v>2</v>
      </c>
      <c r="F548" s="4">
        <v>10000</v>
      </c>
      <c r="G548" s="4">
        <v>20000</v>
      </c>
      <c r="H548" t="s">
        <v>21</v>
      </c>
      <c r="I548" t="s">
        <v>27</v>
      </c>
      <c r="J548" t="s">
        <v>27</v>
      </c>
    </row>
    <row r="549" spans="1:10" x14ac:dyDescent="0.25">
      <c r="A549" t="s">
        <v>587</v>
      </c>
      <c r="B549" s="1">
        <v>45183</v>
      </c>
      <c r="C549" t="s">
        <v>75</v>
      </c>
      <c r="D549" t="s">
        <v>50</v>
      </c>
      <c r="E549" s="4">
        <v>2</v>
      </c>
      <c r="F549" s="4">
        <v>15000</v>
      </c>
      <c r="G549" s="4">
        <v>30000</v>
      </c>
      <c r="H549" t="s">
        <v>17</v>
      </c>
      <c r="I549" t="s">
        <v>27</v>
      </c>
      <c r="J549" t="s">
        <v>27</v>
      </c>
    </row>
    <row r="550" spans="1:10" x14ac:dyDescent="0.25">
      <c r="A550" t="s">
        <v>588</v>
      </c>
      <c r="B550" s="1">
        <v>45202</v>
      </c>
      <c r="C550" t="s">
        <v>75</v>
      </c>
      <c r="D550" t="s">
        <v>48</v>
      </c>
      <c r="E550" s="4">
        <v>3</v>
      </c>
      <c r="F550" s="4">
        <v>5000</v>
      </c>
      <c r="G550" s="4">
        <v>15000</v>
      </c>
      <c r="H550" t="s">
        <v>36</v>
      </c>
      <c r="I550" t="s">
        <v>62</v>
      </c>
      <c r="J550" t="s">
        <v>62</v>
      </c>
    </row>
    <row r="551" spans="1:10" x14ac:dyDescent="0.25">
      <c r="A551" t="s">
        <v>589</v>
      </c>
      <c r="B551" s="1">
        <v>45144</v>
      </c>
      <c r="C551" t="s">
        <v>23</v>
      </c>
      <c r="D551" t="s">
        <v>30</v>
      </c>
      <c r="E551" s="4">
        <v>5</v>
      </c>
      <c r="F551" s="4">
        <v>10000</v>
      </c>
      <c r="G551" s="4">
        <v>50000</v>
      </c>
      <c r="H551" t="s">
        <v>17</v>
      </c>
      <c r="I551" t="s">
        <v>62</v>
      </c>
      <c r="J551" t="s">
        <v>62</v>
      </c>
    </row>
    <row r="552" spans="1:10" x14ac:dyDescent="0.25">
      <c r="A552" t="s">
        <v>590</v>
      </c>
      <c r="B552" s="1">
        <v>44947</v>
      </c>
      <c r="C552" t="s">
        <v>55</v>
      </c>
      <c r="D552" t="s">
        <v>12</v>
      </c>
      <c r="E552" s="4">
        <v>3</v>
      </c>
      <c r="F552" s="4">
        <v>20000</v>
      </c>
      <c r="G552" s="4">
        <v>60000</v>
      </c>
      <c r="H552" t="s">
        <v>36</v>
      </c>
      <c r="I552" t="s">
        <v>62</v>
      </c>
      <c r="J552" t="s">
        <v>62</v>
      </c>
    </row>
    <row r="553" spans="1:10" x14ac:dyDescent="0.25">
      <c r="A553" t="s">
        <v>591</v>
      </c>
      <c r="B553" s="1">
        <v>45075</v>
      </c>
      <c r="C553" t="s">
        <v>11</v>
      </c>
      <c r="D553" t="s">
        <v>38</v>
      </c>
      <c r="E553" s="4">
        <v>2</v>
      </c>
      <c r="F553" s="4">
        <v>12500</v>
      </c>
      <c r="G553" s="4">
        <v>25000</v>
      </c>
      <c r="H553" t="s">
        <v>36</v>
      </c>
      <c r="I553" t="s">
        <v>62</v>
      </c>
      <c r="J553" t="s">
        <v>62</v>
      </c>
    </row>
    <row r="554" spans="1:10" x14ac:dyDescent="0.25">
      <c r="A554" t="s">
        <v>592</v>
      </c>
      <c r="B554" s="1">
        <v>45273</v>
      </c>
      <c r="C554" t="s">
        <v>23</v>
      </c>
      <c r="D554" t="s">
        <v>12</v>
      </c>
      <c r="E554" s="4">
        <v>1</v>
      </c>
      <c r="F554" s="4">
        <v>10000</v>
      </c>
      <c r="G554" s="4">
        <v>10000</v>
      </c>
      <c r="H554" t="s">
        <v>36</v>
      </c>
      <c r="I554" t="s">
        <v>18</v>
      </c>
      <c r="J554" t="s">
        <v>18</v>
      </c>
    </row>
    <row r="555" spans="1:10" x14ac:dyDescent="0.25">
      <c r="A555" t="s">
        <v>593</v>
      </c>
      <c r="B555" s="1">
        <v>45029</v>
      </c>
      <c r="C555" t="s">
        <v>35</v>
      </c>
      <c r="D555" t="s">
        <v>50</v>
      </c>
      <c r="E555" s="4">
        <v>4</v>
      </c>
      <c r="F555" s="4">
        <v>5000</v>
      </c>
      <c r="G555" s="4">
        <v>20000</v>
      </c>
      <c r="H555" t="s">
        <v>36</v>
      </c>
      <c r="I555" t="s">
        <v>25</v>
      </c>
      <c r="J555" t="s">
        <v>25</v>
      </c>
    </row>
    <row r="556" spans="1:10" x14ac:dyDescent="0.25">
      <c r="A556" t="s">
        <v>594</v>
      </c>
      <c r="B556" s="1">
        <v>45131</v>
      </c>
      <c r="C556" t="s">
        <v>42</v>
      </c>
      <c r="D556" t="s">
        <v>44</v>
      </c>
      <c r="E556" s="4">
        <v>4</v>
      </c>
      <c r="F556" s="4">
        <v>10000</v>
      </c>
      <c r="G556" s="4">
        <v>40000</v>
      </c>
      <c r="H556" t="s">
        <v>36</v>
      </c>
      <c r="I556" t="s">
        <v>25</v>
      </c>
      <c r="J556" t="s">
        <v>25</v>
      </c>
    </row>
    <row r="557" spans="1:10" x14ac:dyDescent="0.25">
      <c r="A557" t="s">
        <v>595</v>
      </c>
      <c r="B557" s="1">
        <v>45248</v>
      </c>
      <c r="C557" t="s">
        <v>55</v>
      </c>
      <c r="D557" t="s">
        <v>20</v>
      </c>
      <c r="E557" s="4">
        <v>1</v>
      </c>
      <c r="F557" s="4">
        <v>5000</v>
      </c>
      <c r="G557" s="4">
        <v>5000</v>
      </c>
      <c r="H557" t="s">
        <v>17</v>
      </c>
      <c r="I557" t="s">
        <v>27</v>
      </c>
      <c r="J557" t="s">
        <v>27</v>
      </c>
    </row>
    <row r="558" spans="1:10" x14ac:dyDescent="0.25">
      <c r="A558" t="s">
        <v>596</v>
      </c>
      <c r="B558" s="1">
        <v>45245</v>
      </c>
      <c r="C558" t="s">
        <v>16</v>
      </c>
      <c r="D558" t="s">
        <v>50</v>
      </c>
      <c r="E558" s="4">
        <v>1</v>
      </c>
      <c r="F558" s="4">
        <v>12500</v>
      </c>
      <c r="G558" s="4">
        <v>12500</v>
      </c>
      <c r="H558" t="s">
        <v>36</v>
      </c>
      <c r="I558" t="s">
        <v>25</v>
      </c>
      <c r="J558" t="s">
        <v>25</v>
      </c>
    </row>
    <row r="559" spans="1:10" x14ac:dyDescent="0.25">
      <c r="A559" t="s">
        <v>597</v>
      </c>
      <c r="B559" s="1">
        <v>45203</v>
      </c>
      <c r="C559" t="s">
        <v>68</v>
      </c>
      <c r="D559" t="s">
        <v>33</v>
      </c>
      <c r="E559" s="4">
        <v>1</v>
      </c>
      <c r="F559" s="4">
        <v>12500</v>
      </c>
      <c r="G559" s="4">
        <v>12500</v>
      </c>
      <c r="H559" t="s">
        <v>36</v>
      </c>
      <c r="I559" t="s">
        <v>27</v>
      </c>
      <c r="J559" t="s">
        <v>27</v>
      </c>
    </row>
    <row r="560" spans="1:10" x14ac:dyDescent="0.25">
      <c r="A560" t="s">
        <v>598</v>
      </c>
      <c r="B560" s="1">
        <v>45264</v>
      </c>
      <c r="C560" t="s">
        <v>35</v>
      </c>
      <c r="D560" t="s">
        <v>60</v>
      </c>
      <c r="E560" s="4">
        <v>3</v>
      </c>
      <c r="F560" s="4">
        <v>10000</v>
      </c>
      <c r="G560" s="4">
        <v>30000</v>
      </c>
      <c r="H560" t="s">
        <v>36</v>
      </c>
      <c r="I560" t="s">
        <v>14</v>
      </c>
      <c r="J560" t="s">
        <v>14</v>
      </c>
    </row>
    <row r="561" spans="1:10" x14ac:dyDescent="0.25">
      <c r="A561" t="s">
        <v>599</v>
      </c>
      <c r="B561" s="1">
        <v>45277</v>
      </c>
      <c r="C561" t="s">
        <v>32</v>
      </c>
      <c r="D561" t="s">
        <v>33</v>
      </c>
      <c r="E561" s="4">
        <v>5</v>
      </c>
      <c r="F561" s="4">
        <v>20000</v>
      </c>
      <c r="G561" s="4">
        <v>100000</v>
      </c>
      <c r="H561" t="s">
        <v>13</v>
      </c>
      <c r="I561" t="s">
        <v>18</v>
      </c>
      <c r="J561" t="s">
        <v>18</v>
      </c>
    </row>
    <row r="562" spans="1:10" x14ac:dyDescent="0.25">
      <c r="A562" t="s">
        <v>600</v>
      </c>
      <c r="B562" s="1">
        <v>45072</v>
      </c>
      <c r="C562" t="s">
        <v>66</v>
      </c>
      <c r="D562" t="s">
        <v>44</v>
      </c>
      <c r="E562" s="4">
        <v>1</v>
      </c>
      <c r="F562" s="4">
        <v>5000</v>
      </c>
      <c r="G562" s="4">
        <v>5000</v>
      </c>
      <c r="H562" t="s">
        <v>17</v>
      </c>
      <c r="I562" t="s">
        <v>27</v>
      </c>
      <c r="J562" t="s">
        <v>14</v>
      </c>
    </row>
    <row r="563" spans="1:10" x14ac:dyDescent="0.25">
      <c r="A563" t="s">
        <v>601</v>
      </c>
      <c r="B563" s="1">
        <v>44976</v>
      </c>
      <c r="C563" t="s">
        <v>29</v>
      </c>
      <c r="D563" t="s">
        <v>38</v>
      </c>
      <c r="E563" s="4">
        <v>3</v>
      </c>
      <c r="F563" s="4">
        <v>15000</v>
      </c>
      <c r="G563" s="4">
        <v>45000</v>
      </c>
      <c r="H563" t="s">
        <v>21</v>
      </c>
      <c r="I563" t="s">
        <v>27</v>
      </c>
      <c r="J563" t="s">
        <v>27</v>
      </c>
    </row>
    <row r="564" spans="1:10" x14ac:dyDescent="0.25">
      <c r="A564" t="s">
        <v>602</v>
      </c>
      <c r="B564" s="1">
        <v>45116</v>
      </c>
      <c r="C564" t="s">
        <v>55</v>
      </c>
      <c r="D564" t="s">
        <v>12</v>
      </c>
      <c r="E564" s="4">
        <v>3</v>
      </c>
      <c r="F564" s="4">
        <v>10000</v>
      </c>
      <c r="G564" s="4">
        <v>30000</v>
      </c>
      <c r="H564" t="s">
        <v>21</v>
      </c>
      <c r="I564" t="s">
        <v>27</v>
      </c>
      <c r="J564" t="s">
        <v>27</v>
      </c>
    </row>
    <row r="565" spans="1:10" x14ac:dyDescent="0.25">
      <c r="A565" t="s">
        <v>603</v>
      </c>
      <c r="B565" s="1">
        <v>45167</v>
      </c>
      <c r="C565" t="s">
        <v>75</v>
      </c>
      <c r="D565" t="s">
        <v>50</v>
      </c>
      <c r="E565" s="4">
        <v>1</v>
      </c>
      <c r="F565" s="4">
        <v>15000</v>
      </c>
      <c r="G565" s="4">
        <v>15000</v>
      </c>
      <c r="H565" t="s">
        <v>36</v>
      </c>
      <c r="I565" t="s">
        <v>62</v>
      </c>
      <c r="J565" t="s">
        <v>62</v>
      </c>
    </row>
    <row r="566" spans="1:10" x14ac:dyDescent="0.25">
      <c r="A566" t="s">
        <v>604</v>
      </c>
      <c r="B566" s="1">
        <v>45268</v>
      </c>
      <c r="C566" t="s">
        <v>16</v>
      </c>
      <c r="D566" t="s">
        <v>44</v>
      </c>
      <c r="E566" s="4">
        <v>2</v>
      </c>
      <c r="F566" s="4">
        <v>15000</v>
      </c>
      <c r="G566" s="4">
        <v>30000</v>
      </c>
      <c r="H566" t="s">
        <v>21</v>
      </c>
      <c r="I566" t="s">
        <v>25</v>
      </c>
      <c r="J566" t="s">
        <v>25</v>
      </c>
    </row>
    <row r="567" spans="1:10" x14ac:dyDescent="0.25">
      <c r="A567" t="s">
        <v>605</v>
      </c>
      <c r="B567" s="1">
        <v>45074</v>
      </c>
      <c r="C567" t="s">
        <v>75</v>
      </c>
      <c r="D567" t="s">
        <v>60</v>
      </c>
      <c r="E567" s="4">
        <v>1</v>
      </c>
      <c r="F567" s="4">
        <v>15000</v>
      </c>
      <c r="G567" s="4">
        <v>15000</v>
      </c>
      <c r="H567" t="s">
        <v>36</v>
      </c>
      <c r="I567" t="s">
        <v>14</v>
      </c>
      <c r="J567" t="s">
        <v>14</v>
      </c>
    </row>
    <row r="568" spans="1:10" x14ac:dyDescent="0.25">
      <c r="A568" t="s">
        <v>606</v>
      </c>
      <c r="B568" s="1">
        <v>44961</v>
      </c>
      <c r="C568" t="s">
        <v>23</v>
      </c>
      <c r="D568" t="s">
        <v>50</v>
      </c>
      <c r="E568" s="4">
        <v>5</v>
      </c>
      <c r="F568" s="4">
        <v>20000</v>
      </c>
      <c r="G568" s="4">
        <v>100000</v>
      </c>
      <c r="H568" t="s">
        <v>13</v>
      </c>
      <c r="I568" t="s">
        <v>62</v>
      </c>
      <c r="J568" t="s">
        <v>62</v>
      </c>
    </row>
    <row r="569" spans="1:10" x14ac:dyDescent="0.25">
      <c r="A569" t="s">
        <v>607</v>
      </c>
      <c r="B569" s="1">
        <v>45029</v>
      </c>
      <c r="C569" t="s">
        <v>11</v>
      </c>
      <c r="D569" t="s">
        <v>38</v>
      </c>
      <c r="E569" s="4">
        <v>4</v>
      </c>
      <c r="F569" s="4">
        <v>15000</v>
      </c>
      <c r="G569" s="4">
        <v>60000</v>
      </c>
      <c r="H569" t="s">
        <v>36</v>
      </c>
      <c r="I569" t="s">
        <v>18</v>
      </c>
      <c r="J569" t="s">
        <v>18</v>
      </c>
    </row>
    <row r="570" spans="1:10" x14ac:dyDescent="0.25">
      <c r="A570" t="s">
        <v>608</v>
      </c>
      <c r="B570" s="1">
        <v>45265</v>
      </c>
      <c r="C570" t="s">
        <v>29</v>
      </c>
      <c r="D570" t="s">
        <v>24</v>
      </c>
      <c r="E570" s="4">
        <v>3</v>
      </c>
      <c r="F570" s="4">
        <v>10000</v>
      </c>
      <c r="G570" s="4">
        <v>30000</v>
      </c>
      <c r="H570" t="s">
        <v>36</v>
      </c>
      <c r="I570" t="s">
        <v>18</v>
      </c>
      <c r="J570" t="s">
        <v>18</v>
      </c>
    </row>
    <row r="571" spans="1:10" x14ac:dyDescent="0.25">
      <c r="A571" t="s">
        <v>609</v>
      </c>
      <c r="B571" s="1">
        <v>45080</v>
      </c>
      <c r="C571" t="s">
        <v>35</v>
      </c>
      <c r="D571" t="s">
        <v>38</v>
      </c>
      <c r="E571" s="4">
        <v>4</v>
      </c>
      <c r="F571" s="4">
        <v>15000</v>
      </c>
      <c r="G571" s="4">
        <v>60000</v>
      </c>
      <c r="H571" t="s">
        <v>13</v>
      </c>
      <c r="I571" t="s">
        <v>25</v>
      </c>
      <c r="J571" t="s">
        <v>25</v>
      </c>
    </row>
    <row r="572" spans="1:10" x14ac:dyDescent="0.25">
      <c r="A572" t="s">
        <v>610</v>
      </c>
      <c r="B572" s="1">
        <v>44985</v>
      </c>
      <c r="C572" t="s">
        <v>55</v>
      </c>
      <c r="D572" t="s">
        <v>20</v>
      </c>
      <c r="E572" s="4">
        <v>2</v>
      </c>
      <c r="F572" s="4">
        <v>5000</v>
      </c>
      <c r="G572" s="4">
        <v>10000</v>
      </c>
      <c r="H572" t="s">
        <v>21</v>
      </c>
      <c r="I572" t="s">
        <v>25</v>
      </c>
      <c r="J572" t="s">
        <v>25</v>
      </c>
    </row>
    <row r="573" spans="1:10" x14ac:dyDescent="0.25">
      <c r="A573" t="s">
        <v>611</v>
      </c>
      <c r="B573" s="1">
        <v>44996</v>
      </c>
      <c r="C573" t="s">
        <v>55</v>
      </c>
      <c r="D573" t="s">
        <v>48</v>
      </c>
      <c r="E573" s="4">
        <v>3</v>
      </c>
      <c r="F573" s="4">
        <v>12500</v>
      </c>
      <c r="G573" s="4">
        <v>37500</v>
      </c>
      <c r="H573" t="s">
        <v>13</v>
      </c>
      <c r="I573" t="s">
        <v>27</v>
      </c>
      <c r="J573" t="s">
        <v>27</v>
      </c>
    </row>
    <row r="574" spans="1:10" x14ac:dyDescent="0.25">
      <c r="A574" t="s">
        <v>612</v>
      </c>
      <c r="B574" s="1">
        <v>44959</v>
      </c>
      <c r="C574" t="s">
        <v>11</v>
      </c>
      <c r="D574" t="s">
        <v>38</v>
      </c>
      <c r="E574" s="4">
        <v>3</v>
      </c>
      <c r="F574" s="4">
        <v>10000</v>
      </c>
      <c r="G574" s="4">
        <v>30000</v>
      </c>
      <c r="H574" t="s">
        <v>17</v>
      </c>
      <c r="I574" t="s">
        <v>25</v>
      </c>
      <c r="J574" t="s">
        <v>25</v>
      </c>
    </row>
    <row r="575" spans="1:10" x14ac:dyDescent="0.25">
      <c r="A575" t="s">
        <v>613</v>
      </c>
      <c r="B575" s="1">
        <v>45224</v>
      </c>
      <c r="C575" t="s">
        <v>23</v>
      </c>
      <c r="D575" t="s">
        <v>33</v>
      </c>
      <c r="E575" s="4">
        <v>3</v>
      </c>
      <c r="F575" s="4">
        <v>20000</v>
      </c>
      <c r="G575" s="4">
        <v>60000</v>
      </c>
      <c r="H575" t="s">
        <v>13</v>
      </c>
      <c r="I575" t="s">
        <v>18</v>
      </c>
      <c r="J575" t="s">
        <v>18</v>
      </c>
    </row>
    <row r="576" spans="1:10" x14ac:dyDescent="0.25">
      <c r="A576" t="s">
        <v>614</v>
      </c>
      <c r="B576" s="1">
        <v>45047</v>
      </c>
      <c r="C576" t="s">
        <v>35</v>
      </c>
      <c r="D576" t="s">
        <v>38</v>
      </c>
      <c r="E576" s="4">
        <v>2</v>
      </c>
      <c r="F576" s="4">
        <v>10000</v>
      </c>
      <c r="G576" s="4">
        <v>20000</v>
      </c>
      <c r="H576" t="s">
        <v>13</v>
      </c>
      <c r="I576" t="s">
        <v>14</v>
      </c>
      <c r="J576" t="s">
        <v>14</v>
      </c>
    </row>
    <row r="577" spans="1:10" x14ac:dyDescent="0.25">
      <c r="A577" t="s">
        <v>615</v>
      </c>
      <c r="B577" s="1">
        <v>44984</v>
      </c>
      <c r="C577" t="s">
        <v>11</v>
      </c>
      <c r="D577" t="s">
        <v>44</v>
      </c>
      <c r="E577" s="4">
        <v>5</v>
      </c>
      <c r="F577" s="4">
        <v>20000</v>
      </c>
      <c r="G577" s="4">
        <v>100000</v>
      </c>
      <c r="H577" t="s">
        <v>13</v>
      </c>
      <c r="I577" t="s">
        <v>62</v>
      </c>
      <c r="J577" t="s">
        <v>62</v>
      </c>
    </row>
    <row r="578" spans="1:10" x14ac:dyDescent="0.25">
      <c r="A578" t="s">
        <v>616</v>
      </c>
      <c r="B578" s="1">
        <v>45237</v>
      </c>
      <c r="C578" t="s">
        <v>42</v>
      </c>
      <c r="D578" t="s">
        <v>48</v>
      </c>
      <c r="E578" s="4">
        <v>3</v>
      </c>
      <c r="F578" s="4">
        <v>10000</v>
      </c>
      <c r="G578" s="4">
        <v>30000</v>
      </c>
      <c r="H578" t="s">
        <v>13</v>
      </c>
      <c r="I578" t="s">
        <v>62</v>
      </c>
      <c r="J578" t="s">
        <v>62</v>
      </c>
    </row>
    <row r="579" spans="1:10" x14ac:dyDescent="0.25">
      <c r="A579" t="s">
        <v>617</v>
      </c>
      <c r="B579" s="1">
        <v>45200</v>
      </c>
      <c r="C579" t="s">
        <v>35</v>
      </c>
      <c r="D579" t="s">
        <v>30</v>
      </c>
      <c r="E579" s="4">
        <v>4</v>
      </c>
      <c r="F579" s="4">
        <v>20000</v>
      </c>
      <c r="G579" s="4">
        <v>80000</v>
      </c>
      <c r="H579" t="s">
        <v>36</v>
      </c>
      <c r="I579" t="s">
        <v>62</v>
      </c>
      <c r="J579" t="s">
        <v>62</v>
      </c>
    </row>
    <row r="580" spans="1:10" x14ac:dyDescent="0.25">
      <c r="A580" t="s">
        <v>618</v>
      </c>
      <c r="B580" s="1">
        <v>45151</v>
      </c>
      <c r="C580" t="s">
        <v>55</v>
      </c>
      <c r="D580" t="s">
        <v>44</v>
      </c>
      <c r="E580" s="4">
        <v>3</v>
      </c>
      <c r="F580" s="4">
        <v>20000</v>
      </c>
      <c r="G580" s="4">
        <v>60000</v>
      </c>
      <c r="H580" t="s">
        <v>21</v>
      </c>
      <c r="I580" t="s">
        <v>27</v>
      </c>
      <c r="J580" t="s">
        <v>27</v>
      </c>
    </row>
    <row r="581" spans="1:10" x14ac:dyDescent="0.25">
      <c r="A581" t="s">
        <v>619</v>
      </c>
      <c r="B581" s="1">
        <v>45116</v>
      </c>
      <c r="C581" t="s">
        <v>68</v>
      </c>
      <c r="D581" t="s">
        <v>20</v>
      </c>
      <c r="E581" s="4">
        <v>3</v>
      </c>
      <c r="F581" s="4">
        <v>15000</v>
      </c>
      <c r="G581" s="4">
        <v>45000</v>
      </c>
      <c r="H581" t="s">
        <v>17</v>
      </c>
      <c r="I581" t="s">
        <v>62</v>
      </c>
      <c r="J581" t="s">
        <v>62</v>
      </c>
    </row>
    <row r="582" spans="1:10" x14ac:dyDescent="0.25">
      <c r="A582" t="s">
        <v>620</v>
      </c>
      <c r="B582" s="1">
        <v>44953</v>
      </c>
      <c r="C582" t="s">
        <v>68</v>
      </c>
      <c r="D582" t="s">
        <v>20</v>
      </c>
      <c r="E582" s="4">
        <v>3</v>
      </c>
      <c r="F582" s="4">
        <v>20000</v>
      </c>
      <c r="G582" s="4">
        <v>60000</v>
      </c>
      <c r="H582" t="s">
        <v>13</v>
      </c>
      <c r="I582" t="s">
        <v>27</v>
      </c>
      <c r="J582" t="s">
        <v>27</v>
      </c>
    </row>
    <row r="583" spans="1:10" hidden="1" x14ac:dyDescent="0.25">
      <c r="A583" t="s">
        <v>621</v>
      </c>
      <c r="B583" s="1">
        <v>45292</v>
      </c>
      <c r="C583" t="s">
        <v>55</v>
      </c>
      <c r="D583" t="s">
        <v>20</v>
      </c>
      <c r="E583" s="4">
        <v>5</v>
      </c>
      <c r="F583" s="4">
        <v>10000</v>
      </c>
      <c r="G583" s="4">
        <v>50000</v>
      </c>
      <c r="H583" t="s">
        <v>21</v>
      </c>
      <c r="I583" t="s">
        <v>25</v>
      </c>
      <c r="J583" t="s">
        <v>25</v>
      </c>
    </row>
    <row r="584" spans="1:10" x14ac:dyDescent="0.25">
      <c r="A584" t="s">
        <v>622</v>
      </c>
      <c r="B584" s="1">
        <v>45071</v>
      </c>
      <c r="C584" t="s">
        <v>68</v>
      </c>
      <c r="D584" t="s">
        <v>30</v>
      </c>
      <c r="E584" s="4">
        <v>1</v>
      </c>
      <c r="F584" s="4">
        <v>20000</v>
      </c>
      <c r="G584" s="4">
        <v>20000</v>
      </c>
      <c r="H584" t="s">
        <v>13</v>
      </c>
      <c r="I584" t="s">
        <v>25</v>
      </c>
      <c r="J584" t="s">
        <v>25</v>
      </c>
    </row>
    <row r="585" spans="1:10" x14ac:dyDescent="0.25">
      <c r="A585" t="s">
        <v>623</v>
      </c>
      <c r="B585" s="1">
        <v>45258</v>
      </c>
      <c r="C585" t="s">
        <v>35</v>
      </c>
      <c r="D585" t="s">
        <v>50</v>
      </c>
      <c r="E585" s="4">
        <v>3</v>
      </c>
      <c r="F585" s="4">
        <v>10000</v>
      </c>
      <c r="G585" s="4">
        <v>30000</v>
      </c>
      <c r="H585" t="s">
        <v>36</v>
      </c>
      <c r="I585" t="s">
        <v>14</v>
      </c>
      <c r="J585" t="s">
        <v>14</v>
      </c>
    </row>
    <row r="586" spans="1:10" x14ac:dyDescent="0.25">
      <c r="A586" t="s">
        <v>624</v>
      </c>
      <c r="B586" s="1">
        <v>44972</v>
      </c>
      <c r="C586" t="s">
        <v>68</v>
      </c>
      <c r="D586" t="s">
        <v>44</v>
      </c>
      <c r="E586" s="4">
        <v>2</v>
      </c>
      <c r="F586" s="4">
        <v>15000</v>
      </c>
      <c r="G586" s="4">
        <v>30000</v>
      </c>
      <c r="H586" t="s">
        <v>17</v>
      </c>
      <c r="I586" t="s">
        <v>18</v>
      </c>
      <c r="J586" t="s">
        <v>18</v>
      </c>
    </row>
    <row r="587" spans="1:10" x14ac:dyDescent="0.25">
      <c r="A587" t="s">
        <v>625</v>
      </c>
      <c r="B587" s="1">
        <v>45031</v>
      </c>
      <c r="C587" t="s">
        <v>11</v>
      </c>
      <c r="D587" t="s">
        <v>30</v>
      </c>
      <c r="E587" s="4">
        <v>3</v>
      </c>
      <c r="F587" s="4">
        <v>15000</v>
      </c>
      <c r="G587" s="4">
        <v>45000</v>
      </c>
      <c r="H587" t="s">
        <v>36</v>
      </c>
      <c r="I587" t="s">
        <v>25</v>
      </c>
      <c r="J587" t="s">
        <v>25</v>
      </c>
    </row>
    <row r="588" spans="1:10" x14ac:dyDescent="0.25">
      <c r="A588" t="s">
        <v>626</v>
      </c>
      <c r="B588" s="1">
        <v>45023</v>
      </c>
      <c r="C588" t="s">
        <v>35</v>
      </c>
      <c r="D588" t="s">
        <v>38</v>
      </c>
      <c r="E588" s="4">
        <v>2</v>
      </c>
      <c r="F588" s="4">
        <v>20000</v>
      </c>
      <c r="G588" s="4">
        <v>40000</v>
      </c>
      <c r="H588" t="s">
        <v>17</v>
      </c>
      <c r="I588" t="s">
        <v>62</v>
      </c>
      <c r="J588" t="s">
        <v>62</v>
      </c>
    </row>
    <row r="589" spans="1:10" x14ac:dyDescent="0.25">
      <c r="A589" t="s">
        <v>627</v>
      </c>
      <c r="B589" s="1">
        <v>45116</v>
      </c>
      <c r="C589" t="s">
        <v>68</v>
      </c>
      <c r="D589" t="s">
        <v>48</v>
      </c>
      <c r="E589" s="4">
        <v>4</v>
      </c>
      <c r="F589" s="4">
        <v>10000</v>
      </c>
      <c r="G589" s="4">
        <v>40000</v>
      </c>
      <c r="H589" t="s">
        <v>36</v>
      </c>
      <c r="I589" t="s">
        <v>14</v>
      </c>
      <c r="J589" t="s">
        <v>14</v>
      </c>
    </row>
    <row r="590" spans="1:10" x14ac:dyDescent="0.25">
      <c r="A590" t="s">
        <v>628</v>
      </c>
      <c r="B590" s="1">
        <v>45097</v>
      </c>
      <c r="C590" t="s">
        <v>35</v>
      </c>
      <c r="D590" t="s">
        <v>30</v>
      </c>
      <c r="E590" s="4">
        <v>4</v>
      </c>
      <c r="F590" s="4">
        <v>15000</v>
      </c>
      <c r="G590" s="4">
        <v>60000</v>
      </c>
      <c r="H590" t="s">
        <v>17</v>
      </c>
      <c r="I590" t="s">
        <v>27</v>
      </c>
      <c r="J590" t="s">
        <v>27</v>
      </c>
    </row>
    <row r="591" spans="1:10" x14ac:dyDescent="0.25">
      <c r="A591" t="s">
        <v>629</v>
      </c>
      <c r="B591" s="1">
        <v>45213</v>
      </c>
      <c r="C591" t="s">
        <v>55</v>
      </c>
      <c r="D591" t="s">
        <v>48</v>
      </c>
      <c r="E591" s="4">
        <v>5</v>
      </c>
      <c r="F591" s="4">
        <v>10000</v>
      </c>
      <c r="G591" s="4">
        <v>50000</v>
      </c>
      <c r="H591" t="s">
        <v>13</v>
      </c>
      <c r="I591" t="s">
        <v>18</v>
      </c>
      <c r="J591" t="s">
        <v>18</v>
      </c>
    </row>
    <row r="592" spans="1:10" x14ac:dyDescent="0.25">
      <c r="A592" t="s">
        <v>630</v>
      </c>
      <c r="B592" s="1">
        <v>44999</v>
      </c>
      <c r="C592" t="s">
        <v>35</v>
      </c>
      <c r="D592" t="s">
        <v>60</v>
      </c>
      <c r="E592" s="4">
        <v>1</v>
      </c>
      <c r="F592" s="4">
        <v>15000</v>
      </c>
      <c r="G592" s="4">
        <v>15000</v>
      </c>
      <c r="H592" t="s">
        <v>13</v>
      </c>
      <c r="I592" t="s">
        <v>25</v>
      </c>
      <c r="J592" t="s">
        <v>25</v>
      </c>
    </row>
    <row r="593" spans="1:10" x14ac:dyDescent="0.25">
      <c r="A593" t="s">
        <v>631</v>
      </c>
      <c r="B593" s="1">
        <v>45062</v>
      </c>
      <c r="C593" t="s">
        <v>11</v>
      </c>
      <c r="D593" t="s">
        <v>33</v>
      </c>
      <c r="E593" s="4">
        <v>3</v>
      </c>
      <c r="F593" s="4">
        <v>20000</v>
      </c>
      <c r="G593" s="4">
        <v>60000</v>
      </c>
      <c r="H593" t="s">
        <v>21</v>
      </c>
      <c r="I593" t="s">
        <v>25</v>
      </c>
      <c r="J593" t="s">
        <v>25</v>
      </c>
    </row>
    <row r="594" spans="1:10" x14ac:dyDescent="0.25">
      <c r="A594" t="s">
        <v>632</v>
      </c>
      <c r="B594" s="1">
        <v>44954</v>
      </c>
      <c r="C594" t="s">
        <v>55</v>
      </c>
      <c r="D594" t="s">
        <v>30</v>
      </c>
      <c r="E594" s="4">
        <v>2</v>
      </c>
      <c r="F594" s="4">
        <v>5000</v>
      </c>
      <c r="G594" s="4">
        <v>10000</v>
      </c>
      <c r="H594" t="s">
        <v>21</v>
      </c>
      <c r="I594" t="s">
        <v>14</v>
      </c>
      <c r="J594" t="s">
        <v>14</v>
      </c>
    </row>
    <row r="595" spans="1:10" x14ac:dyDescent="0.25">
      <c r="A595" t="s">
        <v>633</v>
      </c>
      <c r="B595" s="1">
        <v>45290</v>
      </c>
      <c r="C595" t="s">
        <v>23</v>
      </c>
      <c r="D595" t="s">
        <v>33</v>
      </c>
      <c r="E595" s="4">
        <v>4</v>
      </c>
      <c r="F595" s="4">
        <v>20000</v>
      </c>
      <c r="G595" s="4">
        <v>80000</v>
      </c>
      <c r="H595" t="s">
        <v>17</v>
      </c>
      <c r="I595" t="s">
        <v>14</v>
      </c>
      <c r="J595" t="s">
        <v>14</v>
      </c>
    </row>
    <row r="596" spans="1:10" x14ac:dyDescent="0.25">
      <c r="A596" t="s">
        <v>634</v>
      </c>
      <c r="B596" s="1">
        <v>45116</v>
      </c>
      <c r="C596" t="s">
        <v>75</v>
      </c>
      <c r="D596" t="s">
        <v>50</v>
      </c>
      <c r="E596" s="4">
        <v>3</v>
      </c>
      <c r="F596" s="4">
        <v>15000</v>
      </c>
      <c r="G596" s="4">
        <v>45000</v>
      </c>
      <c r="H596" t="s">
        <v>17</v>
      </c>
      <c r="I596" t="s">
        <v>18</v>
      </c>
      <c r="J596" t="s">
        <v>18</v>
      </c>
    </row>
    <row r="597" spans="1:10" x14ac:dyDescent="0.25">
      <c r="A597" t="s">
        <v>635</v>
      </c>
      <c r="B597" s="1">
        <v>45116</v>
      </c>
      <c r="C597" t="s">
        <v>66</v>
      </c>
      <c r="D597" t="s">
        <v>48</v>
      </c>
      <c r="E597" s="4">
        <v>3</v>
      </c>
      <c r="F597" s="4">
        <v>10000</v>
      </c>
      <c r="G597" s="4">
        <v>30000</v>
      </c>
      <c r="H597" t="s">
        <v>17</v>
      </c>
      <c r="I597" t="s">
        <v>25</v>
      </c>
      <c r="J597" t="s">
        <v>25</v>
      </c>
    </row>
    <row r="598" spans="1:10" x14ac:dyDescent="0.25">
      <c r="A598" t="s">
        <v>636</v>
      </c>
      <c r="B598" s="1">
        <v>45289</v>
      </c>
      <c r="C598" t="s">
        <v>32</v>
      </c>
      <c r="D598" t="s">
        <v>24</v>
      </c>
      <c r="E598" s="4">
        <v>4</v>
      </c>
      <c r="F598" s="4">
        <v>10000</v>
      </c>
      <c r="G598" s="4">
        <v>40000</v>
      </c>
      <c r="H598" t="s">
        <v>17</v>
      </c>
      <c r="I598" t="s">
        <v>62</v>
      </c>
      <c r="J598" t="s">
        <v>62</v>
      </c>
    </row>
    <row r="599" spans="1:10" x14ac:dyDescent="0.25">
      <c r="A599" t="s">
        <v>637</v>
      </c>
      <c r="B599" s="1">
        <v>45218</v>
      </c>
      <c r="C599" t="s">
        <v>32</v>
      </c>
      <c r="D599" t="s">
        <v>20</v>
      </c>
      <c r="E599" s="4">
        <v>2</v>
      </c>
      <c r="F599" s="4">
        <v>12500</v>
      </c>
      <c r="G599" s="4">
        <v>25000</v>
      </c>
      <c r="H599" t="s">
        <v>21</v>
      </c>
      <c r="I599" t="s">
        <v>62</v>
      </c>
      <c r="J599" t="s">
        <v>62</v>
      </c>
    </row>
    <row r="600" spans="1:10" x14ac:dyDescent="0.25">
      <c r="A600" t="s">
        <v>638</v>
      </c>
      <c r="B600" s="1">
        <v>45049</v>
      </c>
      <c r="C600" t="s">
        <v>68</v>
      </c>
      <c r="D600" t="s">
        <v>38</v>
      </c>
      <c r="E600" s="4">
        <v>1</v>
      </c>
      <c r="F600" s="4">
        <v>5000</v>
      </c>
      <c r="G600" s="4">
        <v>5000</v>
      </c>
      <c r="H600" t="s">
        <v>13</v>
      </c>
      <c r="I600" t="s">
        <v>25</v>
      </c>
      <c r="J600" t="s">
        <v>25</v>
      </c>
    </row>
    <row r="601" spans="1:10" x14ac:dyDescent="0.25">
      <c r="A601" t="s">
        <v>639</v>
      </c>
      <c r="B601" s="1">
        <v>45148</v>
      </c>
      <c r="C601" t="s">
        <v>66</v>
      </c>
      <c r="D601" t="s">
        <v>60</v>
      </c>
      <c r="E601" s="4">
        <v>3</v>
      </c>
      <c r="F601" s="4">
        <v>15000</v>
      </c>
      <c r="G601" s="4">
        <v>45000</v>
      </c>
      <c r="H601" t="s">
        <v>21</v>
      </c>
      <c r="I601" t="s">
        <v>27</v>
      </c>
      <c r="J601" t="s">
        <v>27</v>
      </c>
    </row>
    <row r="602" spans="1:10" x14ac:dyDescent="0.25">
      <c r="A602" t="s">
        <v>640</v>
      </c>
      <c r="B602" s="1">
        <v>45143</v>
      </c>
      <c r="C602" t="s">
        <v>29</v>
      </c>
      <c r="D602" t="s">
        <v>12</v>
      </c>
      <c r="E602" s="4">
        <v>4</v>
      </c>
      <c r="F602" s="4">
        <v>12500</v>
      </c>
      <c r="G602" s="4">
        <v>50000</v>
      </c>
      <c r="H602" t="s">
        <v>13</v>
      </c>
      <c r="I602" t="s">
        <v>25</v>
      </c>
      <c r="J602" t="s">
        <v>25</v>
      </c>
    </row>
    <row r="603" spans="1:10" hidden="1" x14ac:dyDescent="0.25">
      <c r="A603" t="s">
        <v>641</v>
      </c>
      <c r="B603" s="1">
        <v>45292</v>
      </c>
      <c r="C603" t="s">
        <v>55</v>
      </c>
      <c r="D603" t="s">
        <v>20</v>
      </c>
      <c r="E603" s="4">
        <v>4</v>
      </c>
      <c r="F603" s="4">
        <v>15000</v>
      </c>
      <c r="G603" s="4">
        <v>60000</v>
      </c>
      <c r="H603" t="s">
        <v>17</v>
      </c>
      <c r="I603" t="s">
        <v>62</v>
      </c>
      <c r="J603" t="s">
        <v>62</v>
      </c>
    </row>
    <row r="604" spans="1:10" x14ac:dyDescent="0.25">
      <c r="A604" t="s">
        <v>642</v>
      </c>
      <c r="B604" s="1">
        <v>45080</v>
      </c>
      <c r="C604" t="s">
        <v>23</v>
      </c>
      <c r="D604" t="s">
        <v>30</v>
      </c>
      <c r="E604" s="4">
        <v>5</v>
      </c>
      <c r="F604" s="4">
        <v>20000</v>
      </c>
      <c r="G604" s="4">
        <v>100000</v>
      </c>
      <c r="H604" t="s">
        <v>17</v>
      </c>
      <c r="I604" t="s">
        <v>18</v>
      </c>
      <c r="J604" t="s">
        <v>18</v>
      </c>
    </row>
    <row r="605" spans="1:10" x14ac:dyDescent="0.25">
      <c r="A605" t="s">
        <v>643</v>
      </c>
      <c r="B605" s="1">
        <v>45218</v>
      </c>
      <c r="C605" t="s">
        <v>32</v>
      </c>
      <c r="D605" t="s">
        <v>60</v>
      </c>
      <c r="E605" s="4">
        <v>3</v>
      </c>
      <c r="F605" s="4">
        <v>15000</v>
      </c>
      <c r="G605" s="4">
        <v>45000</v>
      </c>
      <c r="H605" t="s">
        <v>17</v>
      </c>
      <c r="I605" t="s">
        <v>18</v>
      </c>
      <c r="J605" t="s">
        <v>18</v>
      </c>
    </row>
    <row r="606" spans="1:10" x14ac:dyDescent="0.25">
      <c r="A606" t="s">
        <v>644</v>
      </c>
      <c r="B606" s="1">
        <v>44969</v>
      </c>
      <c r="C606" t="s">
        <v>75</v>
      </c>
      <c r="D606" t="s">
        <v>38</v>
      </c>
      <c r="E606" s="4">
        <v>3</v>
      </c>
      <c r="F606" s="4">
        <v>15000</v>
      </c>
      <c r="G606" s="4">
        <v>45000</v>
      </c>
      <c r="H606" t="s">
        <v>36</v>
      </c>
      <c r="I606" t="s">
        <v>25</v>
      </c>
      <c r="J606" t="s">
        <v>25</v>
      </c>
    </row>
    <row r="607" spans="1:10" x14ac:dyDescent="0.25">
      <c r="A607" t="s">
        <v>645</v>
      </c>
      <c r="B607" s="1">
        <v>44967</v>
      </c>
      <c r="C607" t="s">
        <v>42</v>
      </c>
      <c r="D607" t="s">
        <v>50</v>
      </c>
      <c r="E607" s="4">
        <v>3</v>
      </c>
      <c r="F607" s="4">
        <v>12500</v>
      </c>
      <c r="G607" s="4">
        <v>37500</v>
      </c>
      <c r="H607" t="s">
        <v>17</v>
      </c>
      <c r="I607" t="s">
        <v>27</v>
      </c>
      <c r="J607" t="s">
        <v>25</v>
      </c>
    </row>
    <row r="608" spans="1:10" x14ac:dyDescent="0.25">
      <c r="A608" t="s">
        <v>646</v>
      </c>
      <c r="B608" s="1">
        <v>45134</v>
      </c>
      <c r="C608" t="s">
        <v>35</v>
      </c>
      <c r="D608" t="s">
        <v>50</v>
      </c>
      <c r="E608" s="4">
        <v>3</v>
      </c>
      <c r="F608" s="4">
        <v>20000</v>
      </c>
      <c r="G608" s="4">
        <v>60000</v>
      </c>
      <c r="H608" t="s">
        <v>21</v>
      </c>
      <c r="I608" t="s">
        <v>25</v>
      </c>
      <c r="J608" t="s">
        <v>25</v>
      </c>
    </row>
    <row r="609" spans="1:10" x14ac:dyDescent="0.25">
      <c r="A609" t="s">
        <v>647</v>
      </c>
      <c r="B609" s="1">
        <v>45023</v>
      </c>
      <c r="C609" t="s">
        <v>68</v>
      </c>
      <c r="D609" t="s">
        <v>48</v>
      </c>
      <c r="E609" s="4">
        <v>2</v>
      </c>
      <c r="F609" s="4">
        <v>20000</v>
      </c>
      <c r="G609" s="4">
        <v>40000</v>
      </c>
      <c r="H609" t="s">
        <v>13</v>
      </c>
      <c r="I609" t="s">
        <v>14</v>
      </c>
      <c r="J609" t="s">
        <v>14</v>
      </c>
    </row>
    <row r="610" spans="1:10" x14ac:dyDescent="0.25">
      <c r="A610" t="s">
        <v>648</v>
      </c>
      <c r="B610" s="1">
        <v>45002</v>
      </c>
      <c r="C610" t="s">
        <v>55</v>
      </c>
      <c r="D610" t="s">
        <v>24</v>
      </c>
      <c r="E610" s="4">
        <v>4</v>
      </c>
      <c r="F610" s="4">
        <v>5000</v>
      </c>
      <c r="G610" s="4">
        <v>20000</v>
      </c>
      <c r="H610" t="s">
        <v>13</v>
      </c>
      <c r="I610" t="s">
        <v>14</v>
      </c>
      <c r="J610" t="s">
        <v>14</v>
      </c>
    </row>
    <row r="611" spans="1:10" x14ac:dyDescent="0.25">
      <c r="A611" t="s">
        <v>649</v>
      </c>
      <c r="B611" s="1">
        <v>45218</v>
      </c>
      <c r="C611" t="s">
        <v>68</v>
      </c>
      <c r="D611" t="s">
        <v>38</v>
      </c>
      <c r="E611" s="4">
        <v>1</v>
      </c>
      <c r="F611" s="4">
        <v>15000</v>
      </c>
      <c r="G611" s="4">
        <v>15000</v>
      </c>
      <c r="H611" t="s">
        <v>17</v>
      </c>
      <c r="I611" t="s">
        <v>25</v>
      </c>
      <c r="J611" t="s">
        <v>25</v>
      </c>
    </row>
    <row r="612" spans="1:10" x14ac:dyDescent="0.25">
      <c r="A612" t="s">
        <v>650</v>
      </c>
      <c r="B612" s="1">
        <v>45176</v>
      </c>
      <c r="C612" t="s">
        <v>32</v>
      </c>
      <c r="D612" t="s">
        <v>24</v>
      </c>
      <c r="E612" s="4">
        <v>4</v>
      </c>
      <c r="F612" s="4">
        <v>15000</v>
      </c>
      <c r="G612" s="4">
        <v>60000</v>
      </c>
      <c r="H612" t="s">
        <v>36</v>
      </c>
      <c r="I612" t="s">
        <v>14</v>
      </c>
      <c r="J612" t="s">
        <v>14</v>
      </c>
    </row>
    <row r="613" spans="1:10" x14ac:dyDescent="0.25">
      <c r="A613" t="s">
        <v>651</v>
      </c>
      <c r="B613" s="1">
        <v>45140</v>
      </c>
      <c r="C613" t="s">
        <v>68</v>
      </c>
      <c r="D613" t="s">
        <v>24</v>
      </c>
      <c r="E613" s="4">
        <v>1</v>
      </c>
      <c r="F613" s="4">
        <v>20000</v>
      </c>
      <c r="G613" s="4">
        <v>20000</v>
      </c>
      <c r="H613" t="s">
        <v>21</v>
      </c>
      <c r="I613" t="s">
        <v>25</v>
      </c>
      <c r="J613" t="s">
        <v>25</v>
      </c>
    </row>
    <row r="614" spans="1:10" x14ac:dyDescent="0.25">
      <c r="A614" t="s">
        <v>652</v>
      </c>
      <c r="B614" s="1">
        <v>45039</v>
      </c>
      <c r="C614" t="s">
        <v>35</v>
      </c>
      <c r="D614" t="s">
        <v>50</v>
      </c>
      <c r="E614" s="4">
        <v>3</v>
      </c>
      <c r="F614" s="4">
        <v>15000</v>
      </c>
      <c r="G614" s="4">
        <v>45000</v>
      </c>
      <c r="H614" t="s">
        <v>36</v>
      </c>
      <c r="I614" t="s">
        <v>14</v>
      </c>
      <c r="J614" t="s">
        <v>14</v>
      </c>
    </row>
    <row r="615" spans="1:10" x14ac:dyDescent="0.25">
      <c r="A615" t="s">
        <v>653</v>
      </c>
      <c r="B615" s="1">
        <v>45111</v>
      </c>
      <c r="C615" t="s">
        <v>29</v>
      </c>
      <c r="D615" t="s">
        <v>24</v>
      </c>
      <c r="E615" s="4">
        <v>2</v>
      </c>
      <c r="F615" s="4">
        <v>15000</v>
      </c>
      <c r="G615" s="4">
        <v>30000</v>
      </c>
      <c r="H615" t="s">
        <v>21</v>
      </c>
      <c r="I615" t="s">
        <v>27</v>
      </c>
      <c r="J615" t="s">
        <v>27</v>
      </c>
    </row>
    <row r="616" spans="1:10" x14ac:dyDescent="0.25">
      <c r="A616" t="s">
        <v>654</v>
      </c>
      <c r="B616" s="1">
        <v>45179</v>
      </c>
      <c r="C616" t="s">
        <v>66</v>
      </c>
      <c r="D616" t="s">
        <v>60</v>
      </c>
      <c r="E616" s="4">
        <v>2</v>
      </c>
      <c r="F616" s="4">
        <v>10000</v>
      </c>
      <c r="G616" s="4">
        <v>20000</v>
      </c>
      <c r="H616" t="s">
        <v>17</v>
      </c>
      <c r="I616" t="s">
        <v>27</v>
      </c>
      <c r="J616" t="s">
        <v>27</v>
      </c>
    </row>
    <row r="617" spans="1:10" x14ac:dyDescent="0.25">
      <c r="A617" t="s">
        <v>655</v>
      </c>
      <c r="B617" s="1">
        <v>45116</v>
      </c>
      <c r="C617" t="s">
        <v>42</v>
      </c>
      <c r="D617" t="s">
        <v>12</v>
      </c>
      <c r="E617" s="4">
        <v>3</v>
      </c>
      <c r="F617" s="4">
        <v>20000</v>
      </c>
      <c r="G617" s="4">
        <v>60000</v>
      </c>
      <c r="H617" t="s">
        <v>13</v>
      </c>
      <c r="I617" t="s">
        <v>27</v>
      </c>
      <c r="J617" t="s">
        <v>27</v>
      </c>
    </row>
    <row r="618" spans="1:10" x14ac:dyDescent="0.25">
      <c r="A618" t="s">
        <v>656</v>
      </c>
      <c r="B618" s="1">
        <v>45212</v>
      </c>
      <c r="C618" t="s">
        <v>55</v>
      </c>
      <c r="D618" t="s">
        <v>60</v>
      </c>
      <c r="E618" s="4">
        <v>2</v>
      </c>
      <c r="F618" s="4">
        <v>12500</v>
      </c>
      <c r="G618" s="4">
        <v>25000</v>
      </c>
      <c r="H618" t="s">
        <v>17</v>
      </c>
      <c r="I618" t="s">
        <v>27</v>
      </c>
      <c r="J618" t="s">
        <v>27</v>
      </c>
    </row>
    <row r="619" spans="1:10" x14ac:dyDescent="0.25">
      <c r="A619" t="s">
        <v>657</v>
      </c>
      <c r="B619" s="1">
        <v>45239</v>
      </c>
      <c r="C619" t="s">
        <v>29</v>
      </c>
      <c r="D619" t="s">
        <v>12</v>
      </c>
      <c r="E619" s="4">
        <v>5</v>
      </c>
      <c r="F619" s="4">
        <v>5000</v>
      </c>
      <c r="G619" s="4">
        <v>25000</v>
      </c>
      <c r="H619" t="s">
        <v>17</v>
      </c>
      <c r="I619" t="s">
        <v>14</v>
      </c>
      <c r="J619" t="s">
        <v>14</v>
      </c>
    </row>
    <row r="620" spans="1:10" x14ac:dyDescent="0.25">
      <c r="A620" t="s">
        <v>658</v>
      </c>
      <c r="B620" s="1">
        <v>45186</v>
      </c>
      <c r="C620" t="s">
        <v>66</v>
      </c>
      <c r="D620" t="s">
        <v>24</v>
      </c>
      <c r="E620" s="4">
        <v>3</v>
      </c>
      <c r="F620" s="4">
        <v>12500</v>
      </c>
      <c r="G620" s="4">
        <v>37500</v>
      </c>
      <c r="H620" t="s">
        <v>13</v>
      </c>
      <c r="I620" t="s">
        <v>62</v>
      </c>
      <c r="J620" t="s">
        <v>62</v>
      </c>
    </row>
    <row r="621" spans="1:10" x14ac:dyDescent="0.25">
      <c r="A621" t="s">
        <v>659</v>
      </c>
      <c r="B621" s="1">
        <v>44930</v>
      </c>
      <c r="C621" t="s">
        <v>35</v>
      </c>
      <c r="D621" t="s">
        <v>30</v>
      </c>
      <c r="E621" s="4">
        <v>4</v>
      </c>
      <c r="F621" s="4">
        <v>15000</v>
      </c>
      <c r="G621" s="4">
        <v>60000</v>
      </c>
      <c r="H621" t="s">
        <v>13</v>
      </c>
      <c r="I621" t="s">
        <v>27</v>
      </c>
      <c r="J621" t="s">
        <v>27</v>
      </c>
    </row>
    <row r="622" spans="1:10" x14ac:dyDescent="0.25">
      <c r="A622" t="s">
        <v>660</v>
      </c>
      <c r="B622" s="1">
        <v>45198</v>
      </c>
      <c r="C622" t="s">
        <v>55</v>
      </c>
      <c r="D622" t="s">
        <v>38</v>
      </c>
      <c r="E622" s="4">
        <v>2</v>
      </c>
      <c r="F622" s="4">
        <v>10000</v>
      </c>
      <c r="G622" s="4">
        <v>20000</v>
      </c>
      <c r="H622" t="s">
        <v>36</v>
      </c>
      <c r="I622" t="s">
        <v>25</v>
      </c>
      <c r="J622" t="s">
        <v>25</v>
      </c>
    </row>
    <row r="623" spans="1:10" x14ac:dyDescent="0.25">
      <c r="A623" t="s">
        <v>661</v>
      </c>
      <c r="B623" s="1">
        <v>44932</v>
      </c>
      <c r="C623" t="s">
        <v>11</v>
      </c>
      <c r="D623" t="s">
        <v>33</v>
      </c>
      <c r="E623" s="4">
        <v>1</v>
      </c>
      <c r="F623" s="4">
        <v>5000</v>
      </c>
      <c r="G623" s="4">
        <v>5000</v>
      </c>
      <c r="H623" t="s">
        <v>21</v>
      </c>
      <c r="I623" t="s">
        <v>27</v>
      </c>
      <c r="J623" t="s">
        <v>25</v>
      </c>
    </row>
    <row r="624" spans="1:10" x14ac:dyDescent="0.25">
      <c r="A624" t="s">
        <v>662</v>
      </c>
      <c r="B624" s="1">
        <v>45221</v>
      </c>
      <c r="C624" t="s">
        <v>68</v>
      </c>
      <c r="D624" t="s">
        <v>48</v>
      </c>
      <c r="E624" s="4">
        <v>3</v>
      </c>
      <c r="F624" s="4">
        <v>10000</v>
      </c>
      <c r="G624" s="4">
        <v>30000</v>
      </c>
      <c r="H624" t="s">
        <v>21</v>
      </c>
      <c r="I624" t="s">
        <v>25</v>
      </c>
      <c r="J624" t="s">
        <v>25</v>
      </c>
    </row>
    <row r="625" spans="1:10" x14ac:dyDescent="0.25">
      <c r="A625" t="s">
        <v>663</v>
      </c>
      <c r="B625" s="1">
        <v>45103</v>
      </c>
      <c r="C625" t="s">
        <v>55</v>
      </c>
      <c r="D625" t="s">
        <v>48</v>
      </c>
      <c r="E625" s="4">
        <v>3</v>
      </c>
      <c r="F625" s="4">
        <v>15000</v>
      </c>
      <c r="G625" s="4">
        <v>45000</v>
      </c>
      <c r="H625" t="s">
        <v>13</v>
      </c>
      <c r="I625" t="s">
        <v>25</v>
      </c>
      <c r="J625" t="s">
        <v>25</v>
      </c>
    </row>
    <row r="626" spans="1:10" x14ac:dyDescent="0.25">
      <c r="A626" t="s">
        <v>664</v>
      </c>
      <c r="B626" s="1">
        <v>45103</v>
      </c>
      <c r="C626" t="s">
        <v>66</v>
      </c>
      <c r="D626" t="s">
        <v>38</v>
      </c>
      <c r="E626" s="4">
        <v>2</v>
      </c>
      <c r="F626" s="4">
        <v>15000</v>
      </c>
      <c r="G626" s="4">
        <v>30000</v>
      </c>
      <c r="H626" t="s">
        <v>17</v>
      </c>
      <c r="I626" t="s">
        <v>18</v>
      </c>
      <c r="J626" t="s">
        <v>18</v>
      </c>
    </row>
    <row r="627" spans="1:10" x14ac:dyDescent="0.25">
      <c r="A627" t="s">
        <v>665</v>
      </c>
      <c r="B627" s="1">
        <v>45036</v>
      </c>
      <c r="C627" t="s">
        <v>32</v>
      </c>
      <c r="D627" t="s">
        <v>12</v>
      </c>
      <c r="E627" s="4">
        <v>5</v>
      </c>
      <c r="F627" s="4">
        <v>15000</v>
      </c>
      <c r="G627" s="4">
        <v>75000</v>
      </c>
      <c r="H627" t="s">
        <v>21</v>
      </c>
      <c r="I627" t="s">
        <v>14</v>
      </c>
      <c r="J627" t="s">
        <v>14</v>
      </c>
    </row>
    <row r="628" spans="1:10" x14ac:dyDescent="0.25">
      <c r="A628" t="s">
        <v>666</v>
      </c>
      <c r="B628" s="1">
        <v>45143</v>
      </c>
      <c r="C628" t="s">
        <v>29</v>
      </c>
      <c r="D628" t="s">
        <v>33</v>
      </c>
      <c r="E628" s="4">
        <v>1</v>
      </c>
      <c r="F628" s="4">
        <v>10000</v>
      </c>
      <c r="G628" s="4">
        <v>10000</v>
      </c>
      <c r="H628" t="s">
        <v>21</v>
      </c>
      <c r="I628" t="s">
        <v>62</v>
      </c>
      <c r="J628" t="s">
        <v>62</v>
      </c>
    </row>
    <row r="629" spans="1:10" x14ac:dyDescent="0.25">
      <c r="A629" t="s">
        <v>667</v>
      </c>
      <c r="B629" s="1">
        <v>45220</v>
      </c>
      <c r="C629" t="s">
        <v>35</v>
      </c>
      <c r="D629" t="s">
        <v>48</v>
      </c>
      <c r="E629" s="4">
        <v>4</v>
      </c>
      <c r="F629" s="4">
        <v>15000</v>
      </c>
      <c r="G629" s="4">
        <v>60000</v>
      </c>
      <c r="H629" t="s">
        <v>13</v>
      </c>
      <c r="I629" t="s">
        <v>62</v>
      </c>
      <c r="J629" t="s">
        <v>62</v>
      </c>
    </row>
    <row r="630" spans="1:10" x14ac:dyDescent="0.25">
      <c r="A630" t="s">
        <v>668</v>
      </c>
      <c r="B630" s="1">
        <v>45116</v>
      </c>
      <c r="C630" t="s">
        <v>55</v>
      </c>
      <c r="D630" t="s">
        <v>30</v>
      </c>
      <c r="E630" s="4">
        <v>1</v>
      </c>
      <c r="F630" s="4">
        <v>15000</v>
      </c>
      <c r="G630" s="4">
        <v>15000</v>
      </c>
      <c r="H630" t="s">
        <v>13</v>
      </c>
      <c r="I630" t="s">
        <v>62</v>
      </c>
      <c r="J630" t="s">
        <v>62</v>
      </c>
    </row>
    <row r="631" spans="1:10" x14ac:dyDescent="0.25">
      <c r="A631" t="s">
        <v>669</v>
      </c>
      <c r="B631" s="1">
        <v>44993</v>
      </c>
      <c r="C631" t="s">
        <v>68</v>
      </c>
      <c r="D631" t="s">
        <v>24</v>
      </c>
      <c r="E631" s="4">
        <v>2</v>
      </c>
      <c r="F631" s="4">
        <v>20000</v>
      </c>
      <c r="G631" s="4">
        <v>40000</v>
      </c>
      <c r="H631" t="s">
        <v>21</v>
      </c>
      <c r="I631" t="s">
        <v>18</v>
      </c>
      <c r="J631" t="s">
        <v>18</v>
      </c>
    </row>
    <row r="632" spans="1:10" x14ac:dyDescent="0.25">
      <c r="A632" t="s">
        <v>670</v>
      </c>
      <c r="B632" s="1">
        <v>45143</v>
      </c>
      <c r="C632" t="s">
        <v>11</v>
      </c>
      <c r="D632" t="s">
        <v>24</v>
      </c>
      <c r="E632" s="4">
        <v>3</v>
      </c>
      <c r="F632" s="4">
        <v>20000</v>
      </c>
      <c r="G632" s="4">
        <v>60000</v>
      </c>
      <c r="H632" t="s">
        <v>36</v>
      </c>
      <c r="I632" t="s">
        <v>14</v>
      </c>
      <c r="J632" t="s">
        <v>14</v>
      </c>
    </row>
    <row r="633" spans="1:10" x14ac:dyDescent="0.25">
      <c r="A633" t="s">
        <v>671</v>
      </c>
      <c r="B633" s="1">
        <v>45197</v>
      </c>
      <c r="C633" t="s">
        <v>11</v>
      </c>
      <c r="D633" t="s">
        <v>12</v>
      </c>
      <c r="E633" s="4">
        <v>3</v>
      </c>
      <c r="F633" s="4">
        <v>10000</v>
      </c>
      <c r="G633" s="4">
        <v>30000</v>
      </c>
      <c r="H633" t="s">
        <v>36</v>
      </c>
      <c r="I633" t="s">
        <v>27</v>
      </c>
      <c r="J633" t="s">
        <v>27</v>
      </c>
    </row>
    <row r="634" spans="1:10" x14ac:dyDescent="0.25">
      <c r="A634" t="s">
        <v>672</v>
      </c>
      <c r="B634" s="1">
        <v>44988</v>
      </c>
      <c r="C634" t="s">
        <v>66</v>
      </c>
      <c r="D634" t="s">
        <v>44</v>
      </c>
      <c r="E634" s="4">
        <v>5</v>
      </c>
      <c r="F634" s="4">
        <v>15000</v>
      </c>
      <c r="G634" s="4">
        <v>75000</v>
      </c>
      <c r="H634" t="s">
        <v>13</v>
      </c>
      <c r="I634" t="s">
        <v>27</v>
      </c>
      <c r="J634" t="s">
        <v>27</v>
      </c>
    </row>
    <row r="635" spans="1:10" x14ac:dyDescent="0.25">
      <c r="A635" t="s">
        <v>673</v>
      </c>
      <c r="B635" s="1">
        <v>45228</v>
      </c>
      <c r="C635" t="s">
        <v>55</v>
      </c>
      <c r="D635" t="s">
        <v>38</v>
      </c>
      <c r="E635" s="4">
        <v>1</v>
      </c>
      <c r="F635" s="4">
        <v>15000</v>
      </c>
      <c r="G635" s="4">
        <v>15000</v>
      </c>
      <c r="H635" t="s">
        <v>13</v>
      </c>
      <c r="I635" t="s">
        <v>14</v>
      </c>
      <c r="J635" t="s">
        <v>14</v>
      </c>
    </row>
    <row r="636" spans="1:10" x14ac:dyDescent="0.25">
      <c r="A636" t="s">
        <v>674</v>
      </c>
      <c r="B636" s="1">
        <v>45085</v>
      </c>
      <c r="C636" t="s">
        <v>11</v>
      </c>
      <c r="D636" t="s">
        <v>50</v>
      </c>
      <c r="E636" s="4">
        <v>4</v>
      </c>
      <c r="F636" s="4">
        <v>15000</v>
      </c>
      <c r="G636" s="4">
        <v>60000</v>
      </c>
      <c r="H636" t="s">
        <v>36</v>
      </c>
      <c r="I636" t="s">
        <v>18</v>
      </c>
      <c r="J636" t="s">
        <v>18</v>
      </c>
    </row>
    <row r="637" spans="1:10" x14ac:dyDescent="0.25">
      <c r="A637" t="s">
        <v>675</v>
      </c>
      <c r="B637" s="1">
        <v>45093</v>
      </c>
      <c r="C637" t="s">
        <v>16</v>
      </c>
      <c r="D637" t="s">
        <v>12</v>
      </c>
      <c r="E637" s="4">
        <v>5</v>
      </c>
      <c r="F637" s="4">
        <v>10000</v>
      </c>
      <c r="G637" s="4">
        <v>50000</v>
      </c>
      <c r="H637" t="s">
        <v>36</v>
      </c>
      <c r="I637" t="s">
        <v>27</v>
      </c>
      <c r="J637" t="s">
        <v>25</v>
      </c>
    </row>
    <row r="638" spans="1:10" x14ac:dyDescent="0.25">
      <c r="A638" t="s">
        <v>676</v>
      </c>
      <c r="B638" s="1">
        <v>45069</v>
      </c>
      <c r="C638" t="s">
        <v>29</v>
      </c>
      <c r="D638" t="s">
        <v>12</v>
      </c>
      <c r="E638" s="4">
        <v>2</v>
      </c>
      <c r="F638" s="4">
        <v>10000</v>
      </c>
      <c r="G638" s="4">
        <v>20000</v>
      </c>
      <c r="H638" t="s">
        <v>21</v>
      </c>
      <c r="I638" t="s">
        <v>18</v>
      </c>
      <c r="J638" t="s">
        <v>18</v>
      </c>
    </row>
    <row r="639" spans="1:10" x14ac:dyDescent="0.25">
      <c r="A639" t="s">
        <v>677</v>
      </c>
      <c r="B639" s="1">
        <v>44954</v>
      </c>
      <c r="C639" t="s">
        <v>29</v>
      </c>
      <c r="D639" t="s">
        <v>50</v>
      </c>
      <c r="E639" s="4">
        <v>5</v>
      </c>
      <c r="F639" s="4">
        <v>10000</v>
      </c>
      <c r="G639" s="4">
        <v>50000</v>
      </c>
      <c r="H639" t="s">
        <v>17</v>
      </c>
      <c r="I639" t="s">
        <v>27</v>
      </c>
      <c r="J639" t="s">
        <v>27</v>
      </c>
    </row>
    <row r="640" spans="1:10" x14ac:dyDescent="0.25">
      <c r="A640" t="s">
        <v>678</v>
      </c>
      <c r="B640" s="1">
        <v>45288</v>
      </c>
      <c r="C640" t="s">
        <v>75</v>
      </c>
      <c r="D640" t="s">
        <v>50</v>
      </c>
      <c r="E640" s="4">
        <v>4</v>
      </c>
      <c r="F640" s="4">
        <v>5000</v>
      </c>
      <c r="G640" s="4">
        <v>20000</v>
      </c>
      <c r="H640" t="s">
        <v>21</v>
      </c>
      <c r="I640" t="s">
        <v>27</v>
      </c>
      <c r="J640" t="s">
        <v>25</v>
      </c>
    </row>
    <row r="641" spans="1:10" x14ac:dyDescent="0.25">
      <c r="A641" t="s">
        <v>679</v>
      </c>
      <c r="B641" s="1">
        <v>45197</v>
      </c>
      <c r="C641" t="s">
        <v>42</v>
      </c>
      <c r="D641" t="s">
        <v>44</v>
      </c>
      <c r="E641" s="4">
        <v>4</v>
      </c>
      <c r="F641" s="4">
        <v>15000</v>
      </c>
      <c r="G641" s="4">
        <v>60000</v>
      </c>
      <c r="H641" t="s">
        <v>17</v>
      </c>
      <c r="I641" t="s">
        <v>27</v>
      </c>
      <c r="J641" t="s">
        <v>27</v>
      </c>
    </row>
    <row r="642" spans="1:10" x14ac:dyDescent="0.25">
      <c r="A642" t="s">
        <v>680</v>
      </c>
      <c r="B642" s="1">
        <v>45135</v>
      </c>
      <c r="C642" t="s">
        <v>32</v>
      </c>
      <c r="D642" t="s">
        <v>20</v>
      </c>
      <c r="E642" s="4">
        <v>1</v>
      </c>
      <c r="F642" s="4">
        <v>15000</v>
      </c>
      <c r="G642" s="4">
        <v>15000</v>
      </c>
      <c r="H642" t="s">
        <v>13</v>
      </c>
      <c r="I642" t="s">
        <v>27</v>
      </c>
      <c r="J642" t="s">
        <v>27</v>
      </c>
    </row>
    <row r="643" spans="1:10" x14ac:dyDescent="0.25">
      <c r="A643" t="s">
        <v>681</v>
      </c>
      <c r="B643" s="1">
        <v>44988</v>
      </c>
      <c r="C643" t="s">
        <v>42</v>
      </c>
      <c r="D643" t="s">
        <v>48</v>
      </c>
      <c r="E643" s="4">
        <v>2</v>
      </c>
      <c r="F643" s="4">
        <v>10000</v>
      </c>
      <c r="G643" s="4">
        <v>20000</v>
      </c>
      <c r="H643" t="s">
        <v>13</v>
      </c>
      <c r="I643" t="s">
        <v>25</v>
      </c>
      <c r="J643" t="s">
        <v>25</v>
      </c>
    </row>
    <row r="644" spans="1:10" x14ac:dyDescent="0.25">
      <c r="A644" t="s">
        <v>682</v>
      </c>
      <c r="B644" s="1">
        <v>45135</v>
      </c>
      <c r="C644" t="s">
        <v>35</v>
      </c>
      <c r="D644" t="s">
        <v>12</v>
      </c>
      <c r="E644" s="4">
        <v>4</v>
      </c>
      <c r="F644" s="4">
        <v>5000</v>
      </c>
      <c r="G644" s="4">
        <v>20000</v>
      </c>
      <c r="H644" t="s">
        <v>13</v>
      </c>
      <c r="I644" t="s">
        <v>27</v>
      </c>
      <c r="J644" t="s">
        <v>27</v>
      </c>
    </row>
    <row r="645" spans="1:10" x14ac:dyDescent="0.25">
      <c r="A645" t="s">
        <v>683</v>
      </c>
      <c r="B645" s="1">
        <v>44991</v>
      </c>
      <c r="C645" t="s">
        <v>16</v>
      </c>
      <c r="D645" t="s">
        <v>60</v>
      </c>
      <c r="E645" s="4">
        <v>5</v>
      </c>
      <c r="F645" s="4">
        <v>20000</v>
      </c>
      <c r="G645" s="4">
        <v>100000</v>
      </c>
      <c r="H645" t="s">
        <v>17</v>
      </c>
      <c r="I645" t="s">
        <v>18</v>
      </c>
      <c r="J645" t="s">
        <v>18</v>
      </c>
    </row>
    <row r="646" spans="1:10" x14ac:dyDescent="0.25">
      <c r="A646" t="s">
        <v>684</v>
      </c>
      <c r="B646" s="1">
        <v>45143</v>
      </c>
      <c r="C646" t="s">
        <v>35</v>
      </c>
      <c r="D646" t="s">
        <v>33</v>
      </c>
      <c r="E646" s="4">
        <v>4</v>
      </c>
      <c r="F646" s="4">
        <v>5000</v>
      </c>
      <c r="G646" s="4">
        <v>20000</v>
      </c>
      <c r="H646" t="s">
        <v>36</v>
      </c>
      <c r="I646" t="s">
        <v>18</v>
      </c>
      <c r="J646" t="s">
        <v>18</v>
      </c>
    </row>
    <row r="647" spans="1:10" x14ac:dyDescent="0.25">
      <c r="A647" t="s">
        <v>685</v>
      </c>
      <c r="B647" s="1">
        <v>45116</v>
      </c>
      <c r="C647" t="s">
        <v>42</v>
      </c>
      <c r="D647" t="s">
        <v>38</v>
      </c>
      <c r="E647" s="4">
        <v>3</v>
      </c>
      <c r="F647" s="4">
        <v>12500</v>
      </c>
      <c r="G647" s="4">
        <v>37500</v>
      </c>
      <c r="H647" t="s">
        <v>13</v>
      </c>
      <c r="I647" t="s">
        <v>18</v>
      </c>
      <c r="J647" t="s">
        <v>18</v>
      </c>
    </row>
    <row r="648" spans="1:10" x14ac:dyDescent="0.25">
      <c r="A648" t="s">
        <v>686</v>
      </c>
      <c r="B648" s="1">
        <v>45284</v>
      </c>
      <c r="C648" t="s">
        <v>16</v>
      </c>
      <c r="D648" t="s">
        <v>12</v>
      </c>
      <c r="E648" s="4">
        <v>2</v>
      </c>
      <c r="F648" s="4">
        <v>10000</v>
      </c>
      <c r="G648" s="4">
        <v>20000</v>
      </c>
      <c r="H648" t="s">
        <v>21</v>
      </c>
      <c r="I648" t="s">
        <v>25</v>
      </c>
      <c r="J648" t="s">
        <v>25</v>
      </c>
    </row>
    <row r="649" spans="1:10" x14ac:dyDescent="0.25">
      <c r="A649" t="s">
        <v>687</v>
      </c>
      <c r="B649" s="1">
        <v>45060</v>
      </c>
      <c r="C649" t="s">
        <v>16</v>
      </c>
      <c r="D649" t="s">
        <v>24</v>
      </c>
      <c r="E649" s="4">
        <v>3</v>
      </c>
      <c r="F649" s="4">
        <v>10000</v>
      </c>
      <c r="G649" s="4">
        <v>30000</v>
      </c>
      <c r="H649" t="s">
        <v>21</v>
      </c>
      <c r="I649" t="s">
        <v>27</v>
      </c>
      <c r="J649" t="s">
        <v>62</v>
      </c>
    </row>
    <row r="650" spans="1:10" x14ac:dyDescent="0.25">
      <c r="A650" t="s">
        <v>688</v>
      </c>
      <c r="B650" s="1">
        <v>44928</v>
      </c>
      <c r="C650" t="s">
        <v>42</v>
      </c>
      <c r="D650" t="s">
        <v>50</v>
      </c>
      <c r="E650" s="4">
        <v>4</v>
      </c>
      <c r="F650" s="4">
        <v>5000</v>
      </c>
      <c r="G650" s="4">
        <v>20000</v>
      </c>
      <c r="H650" t="s">
        <v>13</v>
      </c>
      <c r="I650" t="s">
        <v>25</v>
      </c>
      <c r="J650" t="s">
        <v>25</v>
      </c>
    </row>
    <row r="651" spans="1:10" x14ac:dyDescent="0.25">
      <c r="A651" t="s">
        <v>689</v>
      </c>
      <c r="B651" s="1">
        <v>45259</v>
      </c>
      <c r="C651" t="s">
        <v>66</v>
      </c>
      <c r="D651" t="s">
        <v>12</v>
      </c>
      <c r="E651" s="4">
        <v>5</v>
      </c>
      <c r="F651" s="4">
        <v>5000</v>
      </c>
      <c r="G651" s="4">
        <v>25000</v>
      </c>
      <c r="H651" t="s">
        <v>36</v>
      </c>
      <c r="I651" t="s">
        <v>27</v>
      </c>
      <c r="J651" t="s">
        <v>27</v>
      </c>
    </row>
    <row r="652" spans="1:10" x14ac:dyDescent="0.25">
      <c r="A652" t="s">
        <v>690</v>
      </c>
      <c r="B652" s="1">
        <v>45283</v>
      </c>
      <c r="C652" t="s">
        <v>32</v>
      </c>
      <c r="D652" t="s">
        <v>48</v>
      </c>
      <c r="E652" s="4">
        <v>1</v>
      </c>
      <c r="F652" s="4">
        <v>20000</v>
      </c>
      <c r="G652" s="4">
        <v>20000</v>
      </c>
      <c r="H652" t="s">
        <v>13</v>
      </c>
      <c r="I652" t="s">
        <v>25</v>
      </c>
      <c r="J652" t="s">
        <v>25</v>
      </c>
    </row>
    <row r="653" spans="1:10" x14ac:dyDescent="0.25">
      <c r="A653" t="s">
        <v>691</v>
      </c>
      <c r="B653" s="1">
        <v>45241</v>
      </c>
      <c r="C653" t="s">
        <v>32</v>
      </c>
      <c r="D653" t="s">
        <v>60</v>
      </c>
      <c r="E653" s="4">
        <v>3</v>
      </c>
      <c r="F653" s="4">
        <v>10000</v>
      </c>
      <c r="G653" s="4">
        <v>30000</v>
      </c>
      <c r="H653" t="s">
        <v>36</v>
      </c>
      <c r="I653" t="s">
        <v>62</v>
      </c>
      <c r="J653" t="s">
        <v>62</v>
      </c>
    </row>
    <row r="654" spans="1:10" x14ac:dyDescent="0.25">
      <c r="A654" t="s">
        <v>692</v>
      </c>
      <c r="B654" s="1">
        <v>45253</v>
      </c>
      <c r="C654" t="s">
        <v>42</v>
      </c>
      <c r="D654" t="s">
        <v>38</v>
      </c>
      <c r="E654" s="4">
        <v>1</v>
      </c>
      <c r="F654" s="4">
        <v>12500</v>
      </c>
      <c r="G654" s="4">
        <v>12500</v>
      </c>
      <c r="H654" t="s">
        <v>36</v>
      </c>
      <c r="I654" t="s">
        <v>14</v>
      </c>
      <c r="J654" t="s">
        <v>14</v>
      </c>
    </row>
    <row r="655" spans="1:10" x14ac:dyDescent="0.25">
      <c r="A655" t="s">
        <v>693</v>
      </c>
      <c r="B655" s="1">
        <v>45116</v>
      </c>
      <c r="C655" t="s">
        <v>16</v>
      </c>
      <c r="D655" t="s">
        <v>20</v>
      </c>
      <c r="E655" s="4">
        <v>3</v>
      </c>
      <c r="F655" s="4">
        <v>5000</v>
      </c>
      <c r="G655" s="4">
        <v>15000</v>
      </c>
      <c r="H655" t="s">
        <v>21</v>
      </c>
      <c r="I655" t="s">
        <v>18</v>
      </c>
      <c r="J655" t="s">
        <v>18</v>
      </c>
    </row>
    <row r="656" spans="1:10" x14ac:dyDescent="0.25">
      <c r="A656" t="s">
        <v>694</v>
      </c>
      <c r="B656" s="1">
        <v>45281</v>
      </c>
      <c r="C656" t="s">
        <v>68</v>
      </c>
      <c r="D656" t="s">
        <v>33</v>
      </c>
      <c r="E656" s="4">
        <v>5</v>
      </c>
      <c r="F656" s="4">
        <v>15000</v>
      </c>
      <c r="G656" s="4">
        <v>75000</v>
      </c>
      <c r="H656" t="s">
        <v>36</v>
      </c>
      <c r="I656" t="s">
        <v>27</v>
      </c>
      <c r="J656" t="s">
        <v>27</v>
      </c>
    </row>
    <row r="657" spans="1:10" x14ac:dyDescent="0.25">
      <c r="A657" t="s">
        <v>695</v>
      </c>
      <c r="B657" s="1">
        <v>45135</v>
      </c>
      <c r="C657" t="s">
        <v>66</v>
      </c>
      <c r="D657" t="s">
        <v>60</v>
      </c>
      <c r="E657" s="4">
        <v>1</v>
      </c>
      <c r="F657" s="4">
        <v>10000</v>
      </c>
      <c r="G657" s="4">
        <v>10000</v>
      </c>
      <c r="H657" t="s">
        <v>36</v>
      </c>
      <c r="I657" t="s">
        <v>27</v>
      </c>
      <c r="J657" t="s">
        <v>25</v>
      </c>
    </row>
    <row r="658" spans="1:10" x14ac:dyDescent="0.25">
      <c r="A658" t="s">
        <v>696</v>
      </c>
      <c r="B658" s="1">
        <v>45088</v>
      </c>
      <c r="C658" t="s">
        <v>32</v>
      </c>
      <c r="D658" t="s">
        <v>48</v>
      </c>
      <c r="E658" s="4">
        <v>4</v>
      </c>
      <c r="F658" s="4">
        <v>10000</v>
      </c>
      <c r="G658" s="4">
        <v>40000</v>
      </c>
      <c r="H658" t="s">
        <v>17</v>
      </c>
      <c r="I658" t="s">
        <v>18</v>
      </c>
      <c r="J658" t="s">
        <v>18</v>
      </c>
    </row>
    <row r="659" spans="1:10" x14ac:dyDescent="0.25">
      <c r="A659" t="s">
        <v>697</v>
      </c>
      <c r="B659" s="1">
        <v>45027</v>
      </c>
      <c r="C659" t="s">
        <v>55</v>
      </c>
      <c r="D659" t="s">
        <v>20</v>
      </c>
      <c r="E659" s="4">
        <v>3</v>
      </c>
      <c r="F659" s="4">
        <v>15000</v>
      </c>
      <c r="G659" s="4">
        <v>45000</v>
      </c>
      <c r="H659" t="s">
        <v>17</v>
      </c>
      <c r="I659" t="s">
        <v>27</v>
      </c>
      <c r="J659" t="s">
        <v>27</v>
      </c>
    </row>
    <row r="660" spans="1:10" x14ac:dyDescent="0.25">
      <c r="A660" t="s">
        <v>698</v>
      </c>
      <c r="B660" s="1">
        <v>45101</v>
      </c>
      <c r="C660" t="s">
        <v>75</v>
      </c>
      <c r="D660" t="s">
        <v>48</v>
      </c>
      <c r="E660" s="4">
        <v>3</v>
      </c>
      <c r="F660" s="4">
        <v>15000</v>
      </c>
      <c r="G660" s="4">
        <v>45000</v>
      </c>
      <c r="H660" t="s">
        <v>17</v>
      </c>
      <c r="I660" t="s">
        <v>18</v>
      </c>
      <c r="J660" t="s">
        <v>18</v>
      </c>
    </row>
    <row r="661" spans="1:10" x14ac:dyDescent="0.25">
      <c r="A661" t="s">
        <v>699</v>
      </c>
      <c r="B661" s="1">
        <v>45116</v>
      </c>
      <c r="C661" t="s">
        <v>32</v>
      </c>
      <c r="D661" t="s">
        <v>38</v>
      </c>
      <c r="E661" s="4">
        <v>3</v>
      </c>
      <c r="F661" s="4">
        <v>12500</v>
      </c>
      <c r="G661" s="4">
        <v>37500</v>
      </c>
      <c r="H661" t="s">
        <v>17</v>
      </c>
      <c r="I661" t="s">
        <v>14</v>
      </c>
      <c r="J661" t="s">
        <v>14</v>
      </c>
    </row>
    <row r="662" spans="1:10" x14ac:dyDescent="0.25">
      <c r="A662" t="s">
        <v>700</v>
      </c>
      <c r="B662" s="1">
        <v>45273</v>
      </c>
      <c r="C662" t="s">
        <v>23</v>
      </c>
      <c r="D662" t="s">
        <v>48</v>
      </c>
      <c r="E662" s="4">
        <v>5</v>
      </c>
      <c r="F662" s="4">
        <v>5000</v>
      </c>
      <c r="G662" s="4">
        <v>25000</v>
      </c>
      <c r="H662" t="s">
        <v>36</v>
      </c>
      <c r="I662" t="s">
        <v>25</v>
      </c>
      <c r="J662" t="s">
        <v>25</v>
      </c>
    </row>
    <row r="663" spans="1:10" x14ac:dyDescent="0.25">
      <c r="A663" t="s">
        <v>701</v>
      </c>
      <c r="B663" s="1">
        <v>45159</v>
      </c>
      <c r="C663" t="s">
        <v>29</v>
      </c>
      <c r="D663" t="s">
        <v>38</v>
      </c>
      <c r="E663" s="4">
        <v>4</v>
      </c>
      <c r="F663" s="4">
        <v>12500</v>
      </c>
      <c r="G663" s="4">
        <v>50000</v>
      </c>
      <c r="H663" t="s">
        <v>17</v>
      </c>
      <c r="I663" t="s">
        <v>62</v>
      </c>
      <c r="J663" t="s">
        <v>62</v>
      </c>
    </row>
    <row r="664" spans="1:10" x14ac:dyDescent="0.25">
      <c r="A664" t="s">
        <v>702</v>
      </c>
      <c r="B664" s="1">
        <v>44979</v>
      </c>
      <c r="C664" t="s">
        <v>11</v>
      </c>
      <c r="D664" t="s">
        <v>48</v>
      </c>
      <c r="E664" s="4">
        <v>5</v>
      </c>
      <c r="F664" s="4">
        <v>10000</v>
      </c>
      <c r="G664" s="4">
        <v>50000</v>
      </c>
      <c r="H664" t="s">
        <v>13</v>
      </c>
      <c r="I664" t="s">
        <v>18</v>
      </c>
      <c r="J664" t="s">
        <v>18</v>
      </c>
    </row>
    <row r="665" spans="1:10" x14ac:dyDescent="0.25">
      <c r="A665" t="s">
        <v>703</v>
      </c>
      <c r="B665" s="1">
        <v>45051</v>
      </c>
      <c r="C665" t="s">
        <v>68</v>
      </c>
      <c r="D665" t="s">
        <v>20</v>
      </c>
      <c r="E665" s="4">
        <v>1</v>
      </c>
      <c r="F665" s="4">
        <v>5000</v>
      </c>
      <c r="G665" s="4">
        <v>5000</v>
      </c>
      <c r="H665" t="s">
        <v>21</v>
      </c>
      <c r="I665" t="s">
        <v>18</v>
      </c>
      <c r="J665" t="s">
        <v>18</v>
      </c>
    </row>
    <row r="666" spans="1:10" x14ac:dyDescent="0.25">
      <c r="A666" t="s">
        <v>704</v>
      </c>
      <c r="B666" s="1">
        <v>45001</v>
      </c>
      <c r="C666" t="s">
        <v>66</v>
      </c>
      <c r="D666" t="s">
        <v>20</v>
      </c>
      <c r="E666" s="4">
        <v>4</v>
      </c>
      <c r="F666" s="4">
        <v>15000</v>
      </c>
      <c r="G666" s="4">
        <v>60000</v>
      </c>
      <c r="H666" t="s">
        <v>21</v>
      </c>
      <c r="I666" t="s">
        <v>62</v>
      </c>
      <c r="J666" t="s">
        <v>62</v>
      </c>
    </row>
    <row r="667" spans="1:10" x14ac:dyDescent="0.25">
      <c r="A667" t="s">
        <v>705</v>
      </c>
      <c r="B667" s="1">
        <v>45213</v>
      </c>
      <c r="C667" t="s">
        <v>23</v>
      </c>
      <c r="D667" t="s">
        <v>48</v>
      </c>
      <c r="E667" s="4">
        <v>4</v>
      </c>
      <c r="F667" s="4">
        <v>15000</v>
      </c>
      <c r="G667" s="4">
        <v>60000</v>
      </c>
      <c r="H667" t="s">
        <v>13</v>
      </c>
      <c r="I667" t="s">
        <v>14</v>
      </c>
      <c r="J667" t="s">
        <v>14</v>
      </c>
    </row>
    <row r="668" spans="1:10" x14ac:dyDescent="0.25">
      <c r="A668" t="s">
        <v>706</v>
      </c>
      <c r="B668" s="1">
        <v>45096</v>
      </c>
      <c r="C668" t="s">
        <v>66</v>
      </c>
      <c r="D668" t="s">
        <v>50</v>
      </c>
      <c r="E668" s="4">
        <v>5</v>
      </c>
      <c r="F668" s="4">
        <v>15000</v>
      </c>
      <c r="G668" s="4">
        <v>75000</v>
      </c>
      <c r="H668" t="s">
        <v>21</v>
      </c>
      <c r="I668" t="s">
        <v>25</v>
      </c>
      <c r="J668" t="s">
        <v>25</v>
      </c>
    </row>
    <row r="669" spans="1:10" x14ac:dyDescent="0.25">
      <c r="A669" t="s">
        <v>707</v>
      </c>
      <c r="B669" s="1">
        <v>44928</v>
      </c>
      <c r="C669" t="s">
        <v>55</v>
      </c>
      <c r="D669" t="s">
        <v>30</v>
      </c>
      <c r="E669" s="4">
        <v>3</v>
      </c>
      <c r="F669" s="4">
        <v>10000</v>
      </c>
      <c r="G669" s="4">
        <v>30000</v>
      </c>
      <c r="H669" t="s">
        <v>13</v>
      </c>
      <c r="I669" t="s">
        <v>14</v>
      </c>
      <c r="J669" t="s">
        <v>14</v>
      </c>
    </row>
    <row r="670" spans="1:10" x14ac:dyDescent="0.25">
      <c r="A670" t="s">
        <v>708</v>
      </c>
      <c r="B670" s="1">
        <v>45021</v>
      </c>
      <c r="C670" t="s">
        <v>42</v>
      </c>
      <c r="D670" t="s">
        <v>48</v>
      </c>
      <c r="E670" s="4">
        <v>3</v>
      </c>
      <c r="F670" s="4">
        <v>5000</v>
      </c>
      <c r="G670" s="4">
        <v>15000</v>
      </c>
      <c r="H670" t="s">
        <v>21</v>
      </c>
      <c r="I670" t="s">
        <v>27</v>
      </c>
      <c r="J670" t="s">
        <v>27</v>
      </c>
    </row>
    <row r="671" spans="1:10" x14ac:dyDescent="0.25">
      <c r="A671" t="s">
        <v>709</v>
      </c>
      <c r="B671" s="1">
        <v>45116</v>
      </c>
      <c r="C671" t="s">
        <v>35</v>
      </c>
      <c r="D671" t="s">
        <v>48</v>
      </c>
      <c r="E671" s="4">
        <v>2</v>
      </c>
      <c r="F671" s="4">
        <v>10000</v>
      </c>
      <c r="G671" s="4">
        <v>20000</v>
      </c>
      <c r="H671" t="s">
        <v>13</v>
      </c>
      <c r="I671" t="s">
        <v>14</v>
      </c>
      <c r="J671" t="s">
        <v>14</v>
      </c>
    </row>
    <row r="672" spans="1:10" x14ac:dyDescent="0.25">
      <c r="A672" t="s">
        <v>710</v>
      </c>
      <c r="B672" s="1">
        <v>45061</v>
      </c>
      <c r="C672" t="s">
        <v>29</v>
      </c>
      <c r="D672" t="s">
        <v>12</v>
      </c>
      <c r="E672" s="4">
        <v>1</v>
      </c>
      <c r="F672" s="4">
        <v>12500</v>
      </c>
      <c r="G672" s="4">
        <v>12500</v>
      </c>
      <c r="H672" t="s">
        <v>13</v>
      </c>
      <c r="I672" t="s">
        <v>25</v>
      </c>
      <c r="J672" t="s">
        <v>25</v>
      </c>
    </row>
    <row r="673" spans="1:10" x14ac:dyDescent="0.25">
      <c r="A673" t="s">
        <v>711</v>
      </c>
      <c r="B673" s="1">
        <v>45117</v>
      </c>
      <c r="C673" t="s">
        <v>23</v>
      </c>
      <c r="D673" t="s">
        <v>20</v>
      </c>
      <c r="E673" s="4">
        <v>5</v>
      </c>
      <c r="F673" s="4">
        <v>12500</v>
      </c>
      <c r="G673" s="4">
        <v>62500</v>
      </c>
      <c r="H673" t="s">
        <v>36</v>
      </c>
      <c r="I673" t="s">
        <v>27</v>
      </c>
      <c r="J673" t="s">
        <v>27</v>
      </c>
    </row>
    <row r="674" spans="1:10" x14ac:dyDescent="0.25">
      <c r="A674" t="s">
        <v>712</v>
      </c>
      <c r="B674" s="1">
        <v>45118</v>
      </c>
      <c r="C674" t="s">
        <v>75</v>
      </c>
      <c r="D674" t="s">
        <v>44</v>
      </c>
      <c r="E674" s="4">
        <v>5</v>
      </c>
      <c r="F674" s="4">
        <v>20000</v>
      </c>
      <c r="G674" s="4">
        <v>100000</v>
      </c>
      <c r="H674" t="s">
        <v>13</v>
      </c>
      <c r="I674" t="s">
        <v>27</v>
      </c>
      <c r="J674" t="s">
        <v>27</v>
      </c>
    </row>
    <row r="675" spans="1:10" x14ac:dyDescent="0.25">
      <c r="A675" t="s">
        <v>713</v>
      </c>
      <c r="B675" s="1">
        <v>45249</v>
      </c>
      <c r="C675" t="s">
        <v>23</v>
      </c>
      <c r="D675" t="s">
        <v>60</v>
      </c>
      <c r="E675" s="4">
        <v>2</v>
      </c>
      <c r="F675" s="4">
        <v>12500</v>
      </c>
      <c r="G675" s="4">
        <v>25000</v>
      </c>
      <c r="H675" t="s">
        <v>36</v>
      </c>
      <c r="I675" t="s">
        <v>14</v>
      </c>
      <c r="J675" t="s">
        <v>14</v>
      </c>
    </row>
    <row r="676" spans="1:10" x14ac:dyDescent="0.25">
      <c r="A676" t="s">
        <v>714</v>
      </c>
      <c r="B676" s="1">
        <v>45257</v>
      </c>
      <c r="C676" t="s">
        <v>66</v>
      </c>
      <c r="D676" t="s">
        <v>33</v>
      </c>
      <c r="E676" s="4">
        <v>3</v>
      </c>
      <c r="F676" s="4">
        <v>20000</v>
      </c>
      <c r="G676" s="4">
        <v>60000</v>
      </c>
      <c r="H676" t="s">
        <v>36</v>
      </c>
      <c r="I676" t="s">
        <v>14</v>
      </c>
      <c r="J676" t="s">
        <v>14</v>
      </c>
    </row>
    <row r="677" spans="1:10" x14ac:dyDescent="0.25">
      <c r="A677" t="s">
        <v>715</v>
      </c>
      <c r="B677" s="1">
        <v>45224</v>
      </c>
      <c r="C677" t="s">
        <v>16</v>
      </c>
      <c r="D677" t="s">
        <v>38</v>
      </c>
      <c r="E677" s="4">
        <v>3</v>
      </c>
      <c r="F677" s="4">
        <v>12500</v>
      </c>
      <c r="G677" s="4">
        <v>37500</v>
      </c>
      <c r="H677" t="s">
        <v>17</v>
      </c>
      <c r="I677" t="s">
        <v>14</v>
      </c>
      <c r="J677" t="s">
        <v>14</v>
      </c>
    </row>
    <row r="678" spans="1:10" x14ac:dyDescent="0.25">
      <c r="A678" t="s">
        <v>716</v>
      </c>
      <c r="B678" s="1">
        <v>45120</v>
      </c>
      <c r="C678" t="s">
        <v>23</v>
      </c>
      <c r="D678" t="s">
        <v>50</v>
      </c>
      <c r="E678" s="4">
        <v>2</v>
      </c>
      <c r="F678" s="4">
        <v>12500</v>
      </c>
      <c r="G678" s="4">
        <v>25000</v>
      </c>
      <c r="H678" t="s">
        <v>21</v>
      </c>
      <c r="I678" t="s">
        <v>18</v>
      </c>
      <c r="J678" t="s">
        <v>18</v>
      </c>
    </row>
    <row r="679" spans="1:10" x14ac:dyDescent="0.25">
      <c r="A679" t="s">
        <v>717</v>
      </c>
      <c r="B679" s="1">
        <v>45165</v>
      </c>
      <c r="C679" t="s">
        <v>68</v>
      </c>
      <c r="D679" t="s">
        <v>33</v>
      </c>
      <c r="E679" s="4">
        <v>5</v>
      </c>
      <c r="F679" s="4">
        <v>15000</v>
      </c>
      <c r="G679" s="4">
        <v>75000</v>
      </c>
      <c r="H679" t="s">
        <v>36</v>
      </c>
      <c r="I679" t="s">
        <v>25</v>
      </c>
      <c r="J679" t="s">
        <v>25</v>
      </c>
    </row>
    <row r="680" spans="1:10" x14ac:dyDescent="0.25">
      <c r="A680" t="s">
        <v>718</v>
      </c>
      <c r="B680" s="1">
        <v>45116</v>
      </c>
      <c r="C680" t="s">
        <v>42</v>
      </c>
      <c r="D680" t="s">
        <v>60</v>
      </c>
      <c r="E680" s="4">
        <v>3</v>
      </c>
      <c r="F680" s="4">
        <v>5000</v>
      </c>
      <c r="G680" s="4">
        <v>15000</v>
      </c>
      <c r="H680" t="s">
        <v>17</v>
      </c>
      <c r="I680" t="s">
        <v>62</v>
      </c>
      <c r="J680" t="s">
        <v>62</v>
      </c>
    </row>
    <row r="681" spans="1:10" x14ac:dyDescent="0.25">
      <c r="A681" t="s">
        <v>719</v>
      </c>
      <c r="B681" s="1">
        <v>44963</v>
      </c>
      <c r="C681" t="s">
        <v>29</v>
      </c>
      <c r="D681" t="s">
        <v>44</v>
      </c>
      <c r="E681" s="4">
        <v>1</v>
      </c>
      <c r="F681" s="4">
        <v>15000</v>
      </c>
      <c r="G681" s="4">
        <v>15000</v>
      </c>
      <c r="H681" t="s">
        <v>21</v>
      </c>
      <c r="I681" t="s">
        <v>14</v>
      </c>
      <c r="J681" t="s">
        <v>14</v>
      </c>
    </row>
    <row r="682" spans="1:10" x14ac:dyDescent="0.25">
      <c r="A682" t="s">
        <v>720</v>
      </c>
      <c r="B682" s="1">
        <v>45288</v>
      </c>
      <c r="C682" t="s">
        <v>35</v>
      </c>
      <c r="D682" t="s">
        <v>50</v>
      </c>
      <c r="E682" s="4">
        <v>2</v>
      </c>
      <c r="F682" s="4">
        <v>12500</v>
      </c>
      <c r="G682" s="4">
        <v>25000</v>
      </c>
      <c r="H682" t="s">
        <v>21</v>
      </c>
      <c r="I682" t="s">
        <v>27</v>
      </c>
      <c r="J682" t="s">
        <v>27</v>
      </c>
    </row>
    <row r="683" spans="1:10" x14ac:dyDescent="0.25">
      <c r="A683" t="s">
        <v>721</v>
      </c>
      <c r="B683" s="1">
        <v>45262</v>
      </c>
      <c r="C683" t="s">
        <v>16</v>
      </c>
      <c r="D683" t="s">
        <v>48</v>
      </c>
      <c r="E683" s="4">
        <v>4</v>
      </c>
      <c r="F683" s="4">
        <v>10000</v>
      </c>
      <c r="G683" s="4">
        <v>40000</v>
      </c>
      <c r="H683" t="s">
        <v>13</v>
      </c>
      <c r="I683" t="s">
        <v>25</v>
      </c>
      <c r="J683" t="s">
        <v>25</v>
      </c>
    </row>
    <row r="684" spans="1:10" x14ac:dyDescent="0.25">
      <c r="A684" t="s">
        <v>722</v>
      </c>
      <c r="B684" s="1">
        <v>45166</v>
      </c>
      <c r="C684" t="s">
        <v>68</v>
      </c>
      <c r="D684" t="s">
        <v>24</v>
      </c>
      <c r="E684" s="4">
        <v>3</v>
      </c>
      <c r="F684" s="4">
        <v>12500</v>
      </c>
      <c r="G684" s="4">
        <v>37500</v>
      </c>
      <c r="H684" t="s">
        <v>21</v>
      </c>
      <c r="I684" t="s">
        <v>14</v>
      </c>
      <c r="J684" t="s">
        <v>14</v>
      </c>
    </row>
    <row r="685" spans="1:10" x14ac:dyDescent="0.25">
      <c r="A685" t="s">
        <v>723</v>
      </c>
      <c r="B685" s="1">
        <v>45118</v>
      </c>
      <c r="C685" t="s">
        <v>55</v>
      </c>
      <c r="D685" t="s">
        <v>20</v>
      </c>
      <c r="E685" s="4">
        <v>5</v>
      </c>
      <c r="F685" s="4">
        <v>12500</v>
      </c>
      <c r="G685" s="4">
        <v>62500</v>
      </c>
      <c r="H685" t="s">
        <v>21</v>
      </c>
      <c r="I685" t="s">
        <v>27</v>
      </c>
      <c r="J685" t="s">
        <v>27</v>
      </c>
    </row>
    <row r="686" spans="1:10" x14ac:dyDescent="0.25">
      <c r="A686" t="s">
        <v>724</v>
      </c>
      <c r="B686" s="1">
        <v>45133</v>
      </c>
      <c r="C686" t="s">
        <v>32</v>
      </c>
      <c r="D686" t="s">
        <v>33</v>
      </c>
      <c r="E686" s="4">
        <v>3</v>
      </c>
      <c r="F686" s="4">
        <v>15000</v>
      </c>
      <c r="G686" s="4">
        <v>45000</v>
      </c>
      <c r="H686" t="s">
        <v>17</v>
      </c>
      <c r="I686" t="s">
        <v>18</v>
      </c>
      <c r="J686" t="s">
        <v>18</v>
      </c>
    </row>
    <row r="687" spans="1:10" x14ac:dyDescent="0.25">
      <c r="A687" t="s">
        <v>725</v>
      </c>
      <c r="B687" s="1">
        <v>45235</v>
      </c>
      <c r="C687" t="s">
        <v>68</v>
      </c>
      <c r="D687" t="s">
        <v>50</v>
      </c>
      <c r="E687" s="4">
        <v>5</v>
      </c>
      <c r="F687" s="4">
        <v>12500</v>
      </c>
      <c r="G687" s="4">
        <v>62500</v>
      </c>
      <c r="H687" t="s">
        <v>36</v>
      </c>
      <c r="I687" t="s">
        <v>14</v>
      </c>
      <c r="J687" t="s">
        <v>14</v>
      </c>
    </row>
    <row r="688" spans="1:10" x14ac:dyDescent="0.25">
      <c r="A688" t="s">
        <v>726</v>
      </c>
      <c r="B688" s="1">
        <v>45254</v>
      </c>
      <c r="C688" t="s">
        <v>75</v>
      </c>
      <c r="D688" t="s">
        <v>60</v>
      </c>
      <c r="E688" s="4">
        <v>1</v>
      </c>
      <c r="F688" s="4">
        <v>10000</v>
      </c>
      <c r="G688" s="4">
        <v>10000</v>
      </c>
      <c r="H688" t="s">
        <v>13</v>
      </c>
      <c r="I688" t="s">
        <v>27</v>
      </c>
      <c r="J688" t="s">
        <v>27</v>
      </c>
    </row>
    <row r="689" spans="1:10" x14ac:dyDescent="0.25">
      <c r="A689" t="s">
        <v>727</v>
      </c>
      <c r="B689" s="1">
        <v>45046</v>
      </c>
      <c r="C689" t="s">
        <v>66</v>
      </c>
      <c r="D689" t="s">
        <v>24</v>
      </c>
      <c r="E689" s="4">
        <v>3</v>
      </c>
      <c r="F689" s="4">
        <v>15000</v>
      </c>
      <c r="G689" s="4">
        <v>45000</v>
      </c>
      <c r="H689" t="s">
        <v>36</v>
      </c>
      <c r="I689" t="s">
        <v>27</v>
      </c>
      <c r="J689" t="s">
        <v>27</v>
      </c>
    </row>
    <row r="690" spans="1:10" x14ac:dyDescent="0.25">
      <c r="A690" t="s">
        <v>728</v>
      </c>
      <c r="B690" s="1">
        <v>44983</v>
      </c>
      <c r="C690" t="s">
        <v>16</v>
      </c>
      <c r="D690" t="s">
        <v>24</v>
      </c>
      <c r="E690" s="4">
        <v>5</v>
      </c>
      <c r="F690" s="4">
        <v>20000</v>
      </c>
      <c r="G690" s="4">
        <v>100000</v>
      </c>
      <c r="H690" t="s">
        <v>17</v>
      </c>
      <c r="I690" t="s">
        <v>25</v>
      </c>
      <c r="J690" t="s">
        <v>25</v>
      </c>
    </row>
    <row r="691" spans="1:10" x14ac:dyDescent="0.25">
      <c r="A691" t="s">
        <v>729</v>
      </c>
      <c r="B691" s="1">
        <v>45236</v>
      </c>
      <c r="C691" t="s">
        <v>16</v>
      </c>
      <c r="D691" t="s">
        <v>50</v>
      </c>
      <c r="E691" s="4">
        <v>3</v>
      </c>
      <c r="F691" s="4">
        <v>15000</v>
      </c>
      <c r="G691" s="4">
        <v>45000</v>
      </c>
      <c r="H691" t="s">
        <v>36</v>
      </c>
      <c r="I691" t="s">
        <v>62</v>
      </c>
      <c r="J691" t="s">
        <v>62</v>
      </c>
    </row>
    <row r="692" spans="1:10" x14ac:dyDescent="0.25">
      <c r="A692" t="s">
        <v>730</v>
      </c>
      <c r="B692" s="1">
        <v>45196</v>
      </c>
      <c r="C692" t="s">
        <v>32</v>
      </c>
      <c r="D692" t="s">
        <v>44</v>
      </c>
      <c r="E692" s="4">
        <v>5</v>
      </c>
      <c r="F692" s="4">
        <v>20000</v>
      </c>
      <c r="G692" s="4">
        <v>100000</v>
      </c>
      <c r="H692" t="s">
        <v>36</v>
      </c>
      <c r="I692" t="s">
        <v>18</v>
      </c>
      <c r="J692" t="s">
        <v>18</v>
      </c>
    </row>
    <row r="693" spans="1:10" x14ac:dyDescent="0.25">
      <c r="A693" t="s">
        <v>731</v>
      </c>
      <c r="B693" s="1">
        <v>45291</v>
      </c>
      <c r="C693" t="s">
        <v>11</v>
      </c>
      <c r="D693" t="s">
        <v>60</v>
      </c>
      <c r="E693" s="4">
        <v>4</v>
      </c>
      <c r="F693" s="4">
        <v>15000</v>
      </c>
      <c r="G693" s="4">
        <v>60000</v>
      </c>
      <c r="H693" t="s">
        <v>36</v>
      </c>
      <c r="I693" t="s">
        <v>14</v>
      </c>
      <c r="J693" t="s">
        <v>14</v>
      </c>
    </row>
    <row r="694" spans="1:10" x14ac:dyDescent="0.25">
      <c r="A694" t="s">
        <v>732</v>
      </c>
      <c r="B694" s="1">
        <v>45218</v>
      </c>
      <c r="C694" t="s">
        <v>35</v>
      </c>
      <c r="D694" t="s">
        <v>12</v>
      </c>
      <c r="E694" s="4">
        <v>4</v>
      </c>
      <c r="F694" s="4">
        <v>10000</v>
      </c>
      <c r="G694" s="4">
        <v>40000</v>
      </c>
      <c r="H694" t="s">
        <v>13</v>
      </c>
      <c r="I694" t="s">
        <v>14</v>
      </c>
      <c r="J694" t="s">
        <v>14</v>
      </c>
    </row>
    <row r="695" spans="1:10" x14ac:dyDescent="0.25">
      <c r="A695" t="s">
        <v>733</v>
      </c>
      <c r="B695" s="1">
        <v>45038</v>
      </c>
      <c r="C695" t="s">
        <v>23</v>
      </c>
      <c r="D695" t="s">
        <v>24</v>
      </c>
      <c r="E695" s="4">
        <v>4</v>
      </c>
      <c r="F695" s="4">
        <v>12500</v>
      </c>
      <c r="G695" s="4">
        <v>50000</v>
      </c>
      <c r="H695" t="s">
        <v>17</v>
      </c>
      <c r="I695" t="s">
        <v>62</v>
      </c>
      <c r="J695" t="s">
        <v>62</v>
      </c>
    </row>
    <row r="696" spans="1:10" x14ac:dyDescent="0.25">
      <c r="A696" t="s">
        <v>734</v>
      </c>
      <c r="B696" s="1">
        <v>45033</v>
      </c>
      <c r="C696" t="s">
        <v>68</v>
      </c>
      <c r="D696" t="s">
        <v>33</v>
      </c>
      <c r="E696" s="4">
        <v>1</v>
      </c>
      <c r="F696" s="4">
        <v>20000</v>
      </c>
      <c r="G696" s="4">
        <v>20000</v>
      </c>
      <c r="H696" t="s">
        <v>17</v>
      </c>
      <c r="I696" t="s">
        <v>25</v>
      </c>
      <c r="J696" t="s">
        <v>25</v>
      </c>
    </row>
    <row r="697" spans="1:10" x14ac:dyDescent="0.25">
      <c r="A697" t="s">
        <v>735</v>
      </c>
      <c r="B697" s="1">
        <v>45290</v>
      </c>
      <c r="C697" t="s">
        <v>55</v>
      </c>
      <c r="D697" t="s">
        <v>20</v>
      </c>
      <c r="E697" s="4">
        <v>3</v>
      </c>
      <c r="F697" s="4">
        <v>10000</v>
      </c>
      <c r="G697" s="4">
        <v>30000</v>
      </c>
      <c r="H697" t="s">
        <v>36</v>
      </c>
      <c r="I697" t="s">
        <v>25</v>
      </c>
      <c r="J697" t="s">
        <v>25</v>
      </c>
    </row>
    <row r="698" spans="1:10" x14ac:dyDescent="0.25">
      <c r="A698" t="s">
        <v>736</v>
      </c>
      <c r="B698" s="1">
        <v>45116</v>
      </c>
      <c r="C698" t="s">
        <v>35</v>
      </c>
      <c r="D698" t="s">
        <v>20</v>
      </c>
      <c r="E698" s="4">
        <v>2</v>
      </c>
      <c r="F698" s="4">
        <v>12500</v>
      </c>
      <c r="G698" s="4">
        <v>25000</v>
      </c>
      <c r="H698" t="s">
        <v>17</v>
      </c>
      <c r="I698" t="s">
        <v>14</v>
      </c>
      <c r="J698" t="s">
        <v>14</v>
      </c>
    </row>
    <row r="699" spans="1:10" x14ac:dyDescent="0.25">
      <c r="A699" t="s">
        <v>737</v>
      </c>
      <c r="B699" s="1">
        <v>45066</v>
      </c>
      <c r="C699" t="s">
        <v>29</v>
      </c>
      <c r="D699" t="s">
        <v>20</v>
      </c>
      <c r="E699" s="4">
        <v>4</v>
      </c>
      <c r="F699" s="4">
        <v>15000</v>
      </c>
      <c r="G699" s="4">
        <v>60000</v>
      </c>
      <c r="H699" t="s">
        <v>13</v>
      </c>
      <c r="I699" t="s">
        <v>27</v>
      </c>
      <c r="J699" t="s">
        <v>27</v>
      </c>
    </row>
    <row r="700" spans="1:10" x14ac:dyDescent="0.25">
      <c r="A700" t="s">
        <v>738</v>
      </c>
      <c r="B700" s="1">
        <v>45266</v>
      </c>
      <c r="C700" t="s">
        <v>75</v>
      </c>
      <c r="D700" t="s">
        <v>12</v>
      </c>
      <c r="E700" s="4">
        <v>4</v>
      </c>
      <c r="F700" s="4">
        <v>10000</v>
      </c>
      <c r="G700" s="4">
        <v>40000</v>
      </c>
      <c r="H700" t="s">
        <v>36</v>
      </c>
      <c r="I700" t="s">
        <v>27</v>
      </c>
      <c r="J700" t="s">
        <v>27</v>
      </c>
    </row>
    <row r="701" spans="1:10" x14ac:dyDescent="0.25">
      <c r="A701" t="s">
        <v>739</v>
      </c>
      <c r="B701" s="1">
        <v>45116</v>
      </c>
      <c r="C701" t="s">
        <v>66</v>
      </c>
      <c r="D701" t="s">
        <v>30</v>
      </c>
      <c r="E701" s="4">
        <v>1</v>
      </c>
      <c r="F701" s="4">
        <v>5000</v>
      </c>
      <c r="G701" s="4">
        <v>5000</v>
      </c>
      <c r="H701" t="s">
        <v>17</v>
      </c>
      <c r="I701" t="s">
        <v>27</v>
      </c>
      <c r="J701" t="s">
        <v>27</v>
      </c>
    </row>
    <row r="702" spans="1:10" x14ac:dyDescent="0.25">
      <c r="A702" t="s">
        <v>740</v>
      </c>
      <c r="B702" s="1">
        <v>45267</v>
      </c>
      <c r="C702" t="s">
        <v>23</v>
      </c>
      <c r="D702" t="s">
        <v>20</v>
      </c>
      <c r="E702" s="4">
        <v>3</v>
      </c>
      <c r="F702" s="4">
        <v>10000</v>
      </c>
      <c r="G702" s="4">
        <v>30000</v>
      </c>
      <c r="H702" t="s">
        <v>36</v>
      </c>
      <c r="I702" t="s">
        <v>18</v>
      </c>
      <c r="J702" t="s">
        <v>18</v>
      </c>
    </row>
    <row r="703" spans="1:10" x14ac:dyDescent="0.25">
      <c r="A703" t="s">
        <v>741</v>
      </c>
      <c r="B703" s="1">
        <v>45129</v>
      </c>
      <c r="C703" t="s">
        <v>66</v>
      </c>
      <c r="D703" t="s">
        <v>38</v>
      </c>
      <c r="E703" s="4">
        <v>1</v>
      </c>
      <c r="F703" s="4">
        <v>10000</v>
      </c>
      <c r="G703" s="4">
        <v>10000</v>
      </c>
      <c r="H703" t="s">
        <v>17</v>
      </c>
      <c r="I703" t="s">
        <v>62</v>
      </c>
      <c r="J703" t="s">
        <v>62</v>
      </c>
    </row>
    <row r="704" spans="1:10" x14ac:dyDescent="0.25">
      <c r="A704" t="s">
        <v>742</v>
      </c>
      <c r="B704" s="1">
        <v>44960</v>
      </c>
      <c r="C704" t="s">
        <v>16</v>
      </c>
      <c r="D704" t="s">
        <v>24</v>
      </c>
      <c r="E704" s="4">
        <v>3</v>
      </c>
      <c r="F704" s="4">
        <v>15000</v>
      </c>
      <c r="G704" s="4">
        <v>45000</v>
      </c>
      <c r="H704" t="s">
        <v>17</v>
      </c>
      <c r="I704" t="s">
        <v>27</v>
      </c>
      <c r="J704" t="s">
        <v>27</v>
      </c>
    </row>
    <row r="705" spans="1:10" x14ac:dyDescent="0.25">
      <c r="A705" t="s">
        <v>743</v>
      </c>
      <c r="B705" s="1">
        <v>45218</v>
      </c>
      <c r="C705" t="s">
        <v>29</v>
      </c>
      <c r="D705" t="s">
        <v>20</v>
      </c>
      <c r="E705" s="4">
        <v>3</v>
      </c>
      <c r="F705" s="4">
        <v>5000</v>
      </c>
      <c r="G705" s="4">
        <v>15000</v>
      </c>
      <c r="H705" t="s">
        <v>21</v>
      </c>
      <c r="I705" t="s">
        <v>25</v>
      </c>
      <c r="J705" t="s">
        <v>25</v>
      </c>
    </row>
    <row r="706" spans="1:10" x14ac:dyDescent="0.25">
      <c r="A706" t="s">
        <v>744</v>
      </c>
      <c r="B706" s="1">
        <v>45279</v>
      </c>
      <c r="C706" t="s">
        <v>75</v>
      </c>
      <c r="D706" t="s">
        <v>44</v>
      </c>
      <c r="E706" s="4">
        <v>3</v>
      </c>
      <c r="F706" s="4">
        <v>20000</v>
      </c>
      <c r="G706" s="4">
        <v>60000</v>
      </c>
      <c r="H706" t="s">
        <v>21</v>
      </c>
      <c r="I706" t="s">
        <v>27</v>
      </c>
      <c r="J706" t="s">
        <v>27</v>
      </c>
    </row>
    <row r="707" spans="1:10" x14ac:dyDescent="0.25">
      <c r="A707" t="s">
        <v>745</v>
      </c>
      <c r="B707" s="1">
        <v>45287</v>
      </c>
      <c r="C707" t="s">
        <v>16</v>
      </c>
      <c r="D707" t="s">
        <v>48</v>
      </c>
      <c r="E707" s="4">
        <v>2</v>
      </c>
      <c r="F707" s="4">
        <v>5000</v>
      </c>
      <c r="G707" s="4">
        <v>10000</v>
      </c>
      <c r="H707" t="s">
        <v>17</v>
      </c>
      <c r="I707" t="s">
        <v>62</v>
      </c>
      <c r="J707" t="s">
        <v>62</v>
      </c>
    </row>
    <row r="708" spans="1:10" x14ac:dyDescent="0.25">
      <c r="A708" t="s">
        <v>746</v>
      </c>
      <c r="B708" s="1">
        <v>45078</v>
      </c>
      <c r="C708" t="s">
        <v>75</v>
      </c>
      <c r="D708" t="s">
        <v>30</v>
      </c>
      <c r="E708" s="4">
        <v>2</v>
      </c>
      <c r="F708" s="4">
        <v>20000</v>
      </c>
      <c r="G708" s="4">
        <v>40000</v>
      </c>
      <c r="H708" t="s">
        <v>17</v>
      </c>
      <c r="I708" t="s">
        <v>14</v>
      </c>
      <c r="J708" t="s">
        <v>14</v>
      </c>
    </row>
    <row r="709" spans="1:10" x14ac:dyDescent="0.25">
      <c r="A709" t="s">
        <v>747</v>
      </c>
      <c r="B709" s="1">
        <v>44947</v>
      </c>
      <c r="C709" t="s">
        <v>66</v>
      </c>
      <c r="D709" t="s">
        <v>33</v>
      </c>
      <c r="E709" s="4">
        <v>4</v>
      </c>
      <c r="F709" s="4">
        <v>10000</v>
      </c>
      <c r="G709" s="4">
        <v>40000</v>
      </c>
      <c r="H709" t="s">
        <v>17</v>
      </c>
      <c r="I709" t="s">
        <v>14</v>
      </c>
      <c r="J709" t="s">
        <v>14</v>
      </c>
    </row>
    <row r="710" spans="1:10" x14ac:dyDescent="0.25">
      <c r="A710" t="s">
        <v>748</v>
      </c>
      <c r="B710" s="1">
        <v>45116</v>
      </c>
      <c r="C710" t="s">
        <v>55</v>
      </c>
      <c r="D710" t="s">
        <v>30</v>
      </c>
      <c r="E710" s="4">
        <v>5</v>
      </c>
      <c r="F710" s="4">
        <v>12500</v>
      </c>
      <c r="G710" s="4">
        <v>62500</v>
      </c>
      <c r="H710" t="s">
        <v>21</v>
      </c>
      <c r="I710" t="s">
        <v>14</v>
      </c>
      <c r="J710" t="s">
        <v>14</v>
      </c>
    </row>
    <row r="711" spans="1:10" x14ac:dyDescent="0.25">
      <c r="A711" t="s">
        <v>749</v>
      </c>
      <c r="B711" s="1">
        <v>44999</v>
      </c>
      <c r="C711" t="s">
        <v>42</v>
      </c>
      <c r="D711" t="s">
        <v>30</v>
      </c>
      <c r="E711" s="4">
        <v>2</v>
      </c>
      <c r="F711" s="4">
        <v>5000</v>
      </c>
      <c r="G711" s="4">
        <v>10000</v>
      </c>
      <c r="H711" t="s">
        <v>13</v>
      </c>
      <c r="I711" t="s">
        <v>14</v>
      </c>
      <c r="J711" t="s">
        <v>14</v>
      </c>
    </row>
    <row r="712" spans="1:10" x14ac:dyDescent="0.25">
      <c r="A712" t="s">
        <v>750</v>
      </c>
      <c r="B712" s="1">
        <v>45017</v>
      </c>
      <c r="C712" t="s">
        <v>35</v>
      </c>
      <c r="D712" t="s">
        <v>50</v>
      </c>
      <c r="E712" s="4">
        <v>2</v>
      </c>
      <c r="F712" s="4">
        <v>15000</v>
      </c>
      <c r="G712" s="4">
        <v>30000</v>
      </c>
      <c r="H712" t="s">
        <v>36</v>
      </c>
      <c r="I712" t="s">
        <v>14</v>
      </c>
      <c r="J712" t="s">
        <v>14</v>
      </c>
    </row>
    <row r="713" spans="1:10" x14ac:dyDescent="0.25">
      <c r="A713" t="s">
        <v>751</v>
      </c>
      <c r="B713" s="1">
        <v>45168</v>
      </c>
      <c r="C713" t="s">
        <v>55</v>
      </c>
      <c r="D713" t="s">
        <v>24</v>
      </c>
      <c r="E713" s="4">
        <v>4</v>
      </c>
      <c r="F713" s="4">
        <v>15000</v>
      </c>
      <c r="G713" s="4">
        <v>60000</v>
      </c>
      <c r="H713" t="s">
        <v>36</v>
      </c>
      <c r="I713" t="s">
        <v>14</v>
      </c>
      <c r="J713" t="s">
        <v>14</v>
      </c>
    </row>
    <row r="714" spans="1:10" x14ac:dyDescent="0.25">
      <c r="A714" t="s">
        <v>752</v>
      </c>
      <c r="B714" s="1">
        <v>45116</v>
      </c>
      <c r="C714" t="s">
        <v>68</v>
      </c>
      <c r="D714" t="s">
        <v>33</v>
      </c>
      <c r="E714" s="4">
        <v>2</v>
      </c>
      <c r="F714" s="4">
        <v>15000</v>
      </c>
      <c r="G714" s="4">
        <v>30000</v>
      </c>
      <c r="H714" t="s">
        <v>13</v>
      </c>
      <c r="I714" t="s">
        <v>62</v>
      </c>
      <c r="J714" t="s">
        <v>62</v>
      </c>
    </row>
    <row r="715" spans="1:10" x14ac:dyDescent="0.25">
      <c r="A715" t="s">
        <v>753</v>
      </c>
      <c r="B715" s="1">
        <v>44996</v>
      </c>
      <c r="C715" t="s">
        <v>42</v>
      </c>
      <c r="D715" t="s">
        <v>24</v>
      </c>
      <c r="E715" s="4">
        <v>2</v>
      </c>
      <c r="F715" s="4">
        <v>10000</v>
      </c>
      <c r="G715" s="4">
        <v>20000</v>
      </c>
      <c r="H715" t="s">
        <v>17</v>
      </c>
      <c r="I715" t="s">
        <v>27</v>
      </c>
      <c r="J715" t="s">
        <v>27</v>
      </c>
    </row>
    <row r="716" spans="1:10" x14ac:dyDescent="0.25">
      <c r="A716" t="s">
        <v>754</v>
      </c>
      <c r="B716" s="1">
        <v>45118</v>
      </c>
      <c r="C716" t="s">
        <v>32</v>
      </c>
      <c r="D716" t="s">
        <v>38</v>
      </c>
      <c r="E716" s="4">
        <v>4</v>
      </c>
      <c r="F716" s="4">
        <v>15000</v>
      </c>
      <c r="G716" s="4">
        <v>60000</v>
      </c>
      <c r="H716" t="s">
        <v>17</v>
      </c>
      <c r="I716" t="s">
        <v>25</v>
      </c>
      <c r="J716" t="s">
        <v>25</v>
      </c>
    </row>
    <row r="717" spans="1:10" x14ac:dyDescent="0.25">
      <c r="A717" t="s">
        <v>755</v>
      </c>
      <c r="B717" s="1">
        <v>45057</v>
      </c>
      <c r="C717" t="s">
        <v>29</v>
      </c>
      <c r="D717" t="s">
        <v>44</v>
      </c>
      <c r="E717" s="4">
        <v>5</v>
      </c>
      <c r="F717" s="4">
        <v>10000</v>
      </c>
      <c r="G717" s="4">
        <v>50000</v>
      </c>
      <c r="H717" t="s">
        <v>21</v>
      </c>
      <c r="I717" t="s">
        <v>27</v>
      </c>
      <c r="J717" t="s">
        <v>27</v>
      </c>
    </row>
    <row r="718" spans="1:10" x14ac:dyDescent="0.25">
      <c r="A718" t="s">
        <v>756</v>
      </c>
      <c r="B718" s="1">
        <v>45112</v>
      </c>
      <c r="C718" t="s">
        <v>75</v>
      </c>
      <c r="D718" t="s">
        <v>48</v>
      </c>
      <c r="E718" s="4">
        <v>3</v>
      </c>
      <c r="F718" s="4">
        <v>10000</v>
      </c>
      <c r="G718" s="4">
        <v>30000</v>
      </c>
      <c r="H718" t="s">
        <v>13</v>
      </c>
      <c r="I718" t="s">
        <v>62</v>
      </c>
      <c r="J718" t="s">
        <v>62</v>
      </c>
    </row>
    <row r="719" spans="1:10" x14ac:dyDescent="0.25">
      <c r="A719" t="s">
        <v>757</v>
      </c>
      <c r="B719" s="1">
        <v>45009</v>
      </c>
      <c r="C719" t="s">
        <v>75</v>
      </c>
      <c r="D719" t="s">
        <v>48</v>
      </c>
      <c r="E719" s="4">
        <v>1</v>
      </c>
      <c r="F719" s="4">
        <v>12500</v>
      </c>
      <c r="G719" s="4">
        <v>12500</v>
      </c>
      <c r="H719" t="s">
        <v>36</v>
      </c>
      <c r="I719" t="s">
        <v>25</v>
      </c>
      <c r="J719" t="s">
        <v>25</v>
      </c>
    </row>
    <row r="720" spans="1:10" x14ac:dyDescent="0.25">
      <c r="A720" t="s">
        <v>758</v>
      </c>
      <c r="B720" s="1">
        <v>45145</v>
      </c>
      <c r="C720" t="s">
        <v>35</v>
      </c>
      <c r="D720" t="s">
        <v>60</v>
      </c>
      <c r="E720" s="4">
        <v>3</v>
      </c>
      <c r="F720" s="4">
        <v>15000</v>
      </c>
      <c r="G720" s="4">
        <v>45000</v>
      </c>
      <c r="H720" t="s">
        <v>36</v>
      </c>
      <c r="I720" t="s">
        <v>18</v>
      </c>
      <c r="J720" t="s">
        <v>18</v>
      </c>
    </row>
    <row r="721" spans="1:10" x14ac:dyDescent="0.25">
      <c r="A721" t="s">
        <v>759</v>
      </c>
      <c r="B721" s="1">
        <v>45220</v>
      </c>
      <c r="C721" t="s">
        <v>35</v>
      </c>
      <c r="D721" t="s">
        <v>44</v>
      </c>
      <c r="E721" s="4">
        <v>2</v>
      </c>
      <c r="F721" s="4">
        <v>15000</v>
      </c>
      <c r="G721" s="4">
        <v>30000</v>
      </c>
      <c r="H721" t="s">
        <v>13</v>
      </c>
      <c r="I721" t="s">
        <v>25</v>
      </c>
      <c r="J721" t="s">
        <v>25</v>
      </c>
    </row>
    <row r="722" spans="1:10" x14ac:dyDescent="0.25">
      <c r="A722" t="s">
        <v>760</v>
      </c>
      <c r="B722" s="1">
        <v>45140</v>
      </c>
      <c r="C722" t="s">
        <v>11</v>
      </c>
      <c r="D722" t="s">
        <v>33</v>
      </c>
      <c r="E722" s="4">
        <v>4</v>
      </c>
      <c r="F722" s="4">
        <v>10000</v>
      </c>
      <c r="G722" s="4">
        <v>40000</v>
      </c>
      <c r="H722" t="s">
        <v>36</v>
      </c>
      <c r="I722" t="s">
        <v>14</v>
      </c>
      <c r="J722" t="s">
        <v>14</v>
      </c>
    </row>
    <row r="723" spans="1:10" x14ac:dyDescent="0.25">
      <c r="A723" t="s">
        <v>761</v>
      </c>
      <c r="B723" s="1">
        <v>45157</v>
      </c>
      <c r="C723" t="s">
        <v>16</v>
      </c>
      <c r="D723" t="s">
        <v>50</v>
      </c>
      <c r="E723" s="4">
        <v>2</v>
      </c>
      <c r="F723" s="4">
        <v>10000</v>
      </c>
      <c r="G723" s="4">
        <v>20000</v>
      </c>
      <c r="H723" t="s">
        <v>17</v>
      </c>
      <c r="I723" t="s">
        <v>14</v>
      </c>
      <c r="J723" t="s">
        <v>14</v>
      </c>
    </row>
    <row r="724" spans="1:10" x14ac:dyDescent="0.25">
      <c r="A724" t="s">
        <v>762</v>
      </c>
      <c r="B724" s="1">
        <v>45252</v>
      </c>
      <c r="C724" t="s">
        <v>35</v>
      </c>
      <c r="D724" t="s">
        <v>20</v>
      </c>
      <c r="E724" s="4">
        <v>1</v>
      </c>
      <c r="F724" s="4">
        <v>15000</v>
      </c>
      <c r="G724" s="4">
        <v>15000</v>
      </c>
      <c r="H724" t="s">
        <v>36</v>
      </c>
      <c r="I724" t="s">
        <v>27</v>
      </c>
      <c r="J724" t="s">
        <v>27</v>
      </c>
    </row>
    <row r="725" spans="1:10" x14ac:dyDescent="0.25">
      <c r="A725" t="s">
        <v>763</v>
      </c>
      <c r="B725" s="1">
        <v>44958</v>
      </c>
      <c r="C725" t="s">
        <v>16</v>
      </c>
      <c r="D725" t="s">
        <v>60</v>
      </c>
      <c r="E725" s="4">
        <v>1</v>
      </c>
      <c r="F725" s="4">
        <v>10000</v>
      </c>
      <c r="G725" s="4">
        <v>10000</v>
      </c>
      <c r="H725" t="s">
        <v>17</v>
      </c>
      <c r="I725" t="s">
        <v>27</v>
      </c>
      <c r="J725" t="s">
        <v>27</v>
      </c>
    </row>
    <row r="726" spans="1:10" x14ac:dyDescent="0.25">
      <c r="A726" t="s">
        <v>764</v>
      </c>
      <c r="B726" s="1">
        <v>45146</v>
      </c>
      <c r="C726" t="s">
        <v>66</v>
      </c>
      <c r="D726" t="s">
        <v>44</v>
      </c>
      <c r="E726" s="4">
        <v>3</v>
      </c>
      <c r="F726" s="4">
        <v>10000</v>
      </c>
      <c r="G726" s="4">
        <v>30000</v>
      </c>
      <c r="H726" t="s">
        <v>21</v>
      </c>
      <c r="I726" t="s">
        <v>14</v>
      </c>
      <c r="J726" t="s">
        <v>14</v>
      </c>
    </row>
    <row r="727" spans="1:10" x14ac:dyDescent="0.25">
      <c r="A727" t="s">
        <v>765</v>
      </c>
      <c r="B727" s="1">
        <v>44978</v>
      </c>
      <c r="C727" t="s">
        <v>32</v>
      </c>
      <c r="D727" t="s">
        <v>48</v>
      </c>
      <c r="E727" s="4">
        <v>4</v>
      </c>
      <c r="F727" s="4">
        <v>12500</v>
      </c>
      <c r="G727" s="4">
        <v>50000</v>
      </c>
      <c r="H727" t="s">
        <v>36</v>
      </c>
      <c r="I727" t="s">
        <v>14</v>
      </c>
      <c r="J727" t="s">
        <v>14</v>
      </c>
    </row>
    <row r="728" spans="1:10" x14ac:dyDescent="0.25">
      <c r="A728" t="s">
        <v>766</v>
      </c>
      <c r="B728" s="1">
        <v>45116</v>
      </c>
      <c r="C728" t="s">
        <v>68</v>
      </c>
      <c r="D728" t="s">
        <v>24</v>
      </c>
      <c r="E728" s="4">
        <v>5</v>
      </c>
      <c r="F728" s="4">
        <v>10000</v>
      </c>
      <c r="G728" s="4">
        <v>50000</v>
      </c>
      <c r="H728" t="s">
        <v>36</v>
      </c>
      <c r="I728" t="s">
        <v>27</v>
      </c>
      <c r="J728" t="s">
        <v>18</v>
      </c>
    </row>
    <row r="729" spans="1:10" x14ac:dyDescent="0.25">
      <c r="A729" t="s">
        <v>767</v>
      </c>
      <c r="B729" s="1">
        <v>45093</v>
      </c>
      <c r="C729" t="s">
        <v>23</v>
      </c>
      <c r="D729" t="s">
        <v>24</v>
      </c>
      <c r="E729" s="4">
        <v>2</v>
      </c>
      <c r="F729" s="4">
        <v>15000</v>
      </c>
      <c r="G729" s="4">
        <v>30000</v>
      </c>
      <c r="H729" t="s">
        <v>36</v>
      </c>
      <c r="I729" t="s">
        <v>18</v>
      </c>
      <c r="J729" t="s">
        <v>18</v>
      </c>
    </row>
    <row r="730" spans="1:10" x14ac:dyDescent="0.25">
      <c r="A730" t="s">
        <v>768</v>
      </c>
      <c r="B730" s="1">
        <v>45285</v>
      </c>
      <c r="C730" t="s">
        <v>42</v>
      </c>
      <c r="D730" t="s">
        <v>12</v>
      </c>
      <c r="E730" s="4">
        <v>3</v>
      </c>
      <c r="F730" s="4">
        <v>20000</v>
      </c>
      <c r="G730" s="4">
        <v>60000</v>
      </c>
      <c r="H730" t="s">
        <v>13</v>
      </c>
      <c r="I730" t="s">
        <v>14</v>
      </c>
      <c r="J730" t="s">
        <v>14</v>
      </c>
    </row>
    <row r="731" spans="1:10" x14ac:dyDescent="0.25">
      <c r="A731" t="s">
        <v>769</v>
      </c>
      <c r="B731" s="1">
        <v>44971</v>
      </c>
      <c r="C731" t="s">
        <v>23</v>
      </c>
      <c r="D731" t="s">
        <v>60</v>
      </c>
      <c r="E731" s="4">
        <v>3</v>
      </c>
      <c r="F731" s="4">
        <v>15000</v>
      </c>
      <c r="G731" s="4">
        <v>45000</v>
      </c>
      <c r="H731" t="s">
        <v>13</v>
      </c>
      <c r="I731" t="s">
        <v>25</v>
      </c>
      <c r="J731" t="s">
        <v>25</v>
      </c>
    </row>
    <row r="732" spans="1:10" x14ac:dyDescent="0.25">
      <c r="A732" t="s">
        <v>770</v>
      </c>
      <c r="B732" s="1">
        <v>45285</v>
      </c>
      <c r="C732" t="s">
        <v>66</v>
      </c>
      <c r="D732" t="s">
        <v>12</v>
      </c>
      <c r="E732" s="4">
        <v>1</v>
      </c>
      <c r="F732" s="4">
        <v>20000</v>
      </c>
      <c r="G732" s="4">
        <v>20000</v>
      </c>
      <c r="H732" t="s">
        <v>17</v>
      </c>
      <c r="I732" t="s">
        <v>14</v>
      </c>
      <c r="J732" t="s">
        <v>14</v>
      </c>
    </row>
    <row r="733" spans="1:10" x14ac:dyDescent="0.25">
      <c r="A733" t="s">
        <v>771</v>
      </c>
      <c r="B733" s="1">
        <v>45270</v>
      </c>
      <c r="C733" t="s">
        <v>66</v>
      </c>
      <c r="D733" t="s">
        <v>12</v>
      </c>
      <c r="E733" s="4">
        <v>3</v>
      </c>
      <c r="F733" s="4">
        <v>10000</v>
      </c>
      <c r="G733" s="4">
        <v>30000</v>
      </c>
      <c r="H733" t="s">
        <v>36</v>
      </c>
      <c r="I733" t="s">
        <v>27</v>
      </c>
      <c r="J733" t="s">
        <v>27</v>
      </c>
    </row>
    <row r="734" spans="1:10" x14ac:dyDescent="0.25">
      <c r="A734" t="s">
        <v>772</v>
      </c>
      <c r="B734" s="1">
        <v>45120</v>
      </c>
      <c r="C734" t="s">
        <v>16</v>
      </c>
      <c r="D734" t="s">
        <v>38</v>
      </c>
      <c r="E734" s="4">
        <v>3</v>
      </c>
      <c r="F734" s="4">
        <v>10000</v>
      </c>
      <c r="G734" s="4">
        <v>30000</v>
      </c>
      <c r="H734" t="s">
        <v>36</v>
      </c>
      <c r="I734" t="s">
        <v>14</v>
      </c>
      <c r="J734" t="s">
        <v>14</v>
      </c>
    </row>
    <row r="735" spans="1:10" x14ac:dyDescent="0.25">
      <c r="A735" t="s">
        <v>773</v>
      </c>
      <c r="B735" s="1">
        <v>45023</v>
      </c>
      <c r="C735" t="s">
        <v>75</v>
      </c>
      <c r="D735" t="s">
        <v>24</v>
      </c>
      <c r="E735" s="4">
        <v>5</v>
      </c>
      <c r="F735" s="4">
        <v>15000</v>
      </c>
      <c r="G735" s="4">
        <v>75000</v>
      </c>
      <c r="H735" t="s">
        <v>21</v>
      </c>
      <c r="I735" t="s">
        <v>25</v>
      </c>
      <c r="J735" t="s">
        <v>25</v>
      </c>
    </row>
    <row r="736" spans="1:10" x14ac:dyDescent="0.25">
      <c r="A736" t="s">
        <v>774</v>
      </c>
      <c r="B736" s="1">
        <v>45143</v>
      </c>
      <c r="C736" t="s">
        <v>29</v>
      </c>
      <c r="D736" t="s">
        <v>44</v>
      </c>
      <c r="E736" s="4">
        <v>3</v>
      </c>
      <c r="F736" s="4">
        <v>12500</v>
      </c>
      <c r="G736" s="4">
        <v>37500</v>
      </c>
      <c r="H736" t="s">
        <v>13</v>
      </c>
      <c r="I736" t="s">
        <v>18</v>
      </c>
      <c r="J736" t="s">
        <v>18</v>
      </c>
    </row>
    <row r="737" spans="1:10" x14ac:dyDescent="0.25">
      <c r="A737" t="s">
        <v>775</v>
      </c>
      <c r="B737" s="1">
        <v>45116</v>
      </c>
      <c r="C737" t="s">
        <v>75</v>
      </c>
      <c r="D737" t="s">
        <v>60</v>
      </c>
      <c r="E737" s="4">
        <v>2</v>
      </c>
      <c r="F737" s="4">
        <v>20000</v>
      </c>
      <c r="G737" s="4">
        <v>40000</v>
      </c>
      <c r="H737" t="s">
        <v>36</v>
      </c>
      <c r="I737" t="s">
        <v>14</v>
      </c>
      <c r="J737" t="s">
        <v>14</v>
      </c>
    </row>
    <row r="738" spans="1:10" x14ac:dyDescent="0.25">
      <c r="A738" t="s">
        <v>776</v>
      </c>
      <c r="B738" s="1">
        <v>45116</v>
      </c>
      <c r="C738" t="s">
        <v>55</v>
      </c>
      <c r="D738" t="s">
        <v>60</v>
      </c>
      <c r="E738" s="4">
        <v>5</v>
      </c>
      <c r="F738" s="4">
        <v>10000</v>
      </c>
      <c r="G738" s="4">
        <v>50000</v>
      </c>
      <c r="H738" t="s">
        <v>21</v>
      </c>
      <c r="I738" t="s">
        <v>18</v>
      </c>
      <c r="J738" t="s">
        <v>18</v>
      </c>
    </row>
    <row r="739" spans="1:10" x14ac:dyDescent="0.25">
      <c r="A739" t="s">
        <v>777</v>
      </c>
      <c r="B739" s="1">
        <v>45097</v>
      </c>
      <c r="C739" t="s">
        <v>11</v>
      </c>
      <c r="D739" t="s">
        <v>20</v>
      </c>
      <c r="E739" s="4">
        <v>3</v>
      </c>
      <c r="F739" s="4">
        <v>10000</v>
      </c>
      <c r="G739" s="4">
        <v>30000</v>
      </c>
      <c r="H739" t="s">
        <v>13</v>
      </c>
      <c r="I739" t="s">
        <v>27</v>
      </c>
      <c r="J739" t="s">
        <v>27</v>
      </c>
    </row>
    <row r="740" spans="1:10" x14ac:dyDescent="0.25">
      <c r="A740" t="s">
        <v>778</v>
      </c>
      <c r="B740" s="1">
        <v>45008</v>
      </c>
      <c r="C740" t="s">
        <v>66</v>
      </c>
      <c r="D740" t="s">
        <v>48</v>
      </c>
      <c r="E740" s="4">
        <v>5</v>
      </c>
      <c r="F740" s="4">
        <v>20000</v>
      </c>
      <c r="G740" s="4">
        <v>100000</v>
      </c>
      <c r="H740" t="s">
        <v>36</v>
      </c>
      <c r="I740" t="s">
        <v>25</v>
      </c>
      <c r="J740" t="s">
        <v>25</v>
      </c>
    </row>
    <row r="741" spans="1:10" x14ac:dyDescent="0.25">
      <c r="A741" t="s">
        <v>779</v>
      </c>
      <c r="B741" s="1">
        <v>45026</v>
      </c>
      <c r="C741" t="s">
        <v>32</v>
      </c>
      <c r="D741" t="s">
        <v>33</v>
      </c>
      <c r="E741" s="4">
        <v>4</v>
      </c>
      <c r="F741" s="4">
        <v>5000</v>
      </c>
      <c r="G741" s="4">
        <v>20000</v>
      </c>
      <c r="H741" t="s">
        <v>21</v>
      </c>
      <c r="I741" t="s">
        <v>18</v>
      </c>
      <c r="J741" t="s">
        <v>18</v>
      </c>
    </row>
    <row r="742" spans="1:10" x14ac:dyDescent="0.25">
      <c r="A742" t="s">
        <v>780</v>
      </c>
      <c r="B742" s="1">
        <v>45283</v>
      </c>
      <c r="C742" t="s">
        <v>29</v>
      </c>
      <c r="D742" t="s">
        <v>24</v>
      </c>
      <c r="E742" s="4">
        <v>3</v>
      </c>
      <c r="F742" s="4">
        <v>10000</v>
      </c>
      <c r="G742" s="4">
        <v>30000</v>
      </c>
      <c r="H742" t="s">
        <v>13</v>
      </c>
      <c r="I742" t="s">
        <v>14</v>
      </c>
      <c r="J742" t="s">
        <v>14</v>
      </c>
    </row>
    <row r="743" spans="1:10" x14ac:dyDescent="0.25">
      <c r="A743" t="s">
        <v>781</v>
      </c>
      <c r="B743" s="1">
        <v>45002</v>
      </c>
      <c r="C743" t="s">
        <v>66</v>
      </c>
      <c r="D743" t="s">
        <v>38</v>
      </c>
      <c r="E743" s="4">
        <v>4</v>
      </c>
      <c r="F743" s="4">
        <v>10000</v>
      </c>
      <c r="G743" s="4">
        <v>40000</v>
      </c>
      <c r="H743" t="s">
        <v>17</v>
      </c>
      <c r="I743" t="s">
        <v>27</v>
      </c>
      <c r="J743" t="s">
        <v>27</v>
      </c>
    </row>
    <row r="744" spans="1:10" x14ac:dyDescent="0.25">
      <c r="A744" t="s">
        <v>782</v>
      </c>
      <c r="B744" s="1">
        <v>45230</v>
      </c>
      <c r="C744" t="s">
        <v>32</v>
      </c>
      <c r="D744" t="s">
        <v>38</v>
      </c>
      <c r="E744" s="4">
        <v>2</v>
      </c>
      <c r="F744" s="4">
        <v>10000</v>
      </c>
      <c r="G744" s="4">
        <v>20000</v>
      </c>
      <c r="H744" t="s">
        <v>36</v>
      </c>
      <c r="I744" t="s">
        <v>14</v>
      </c>
      <c r="J744" t="s">
        <v>14</v>
      </c>
    </row>
    <row r="745" spans="1:10" x14ac:dyDescent="0.25">
      <c r="A745" t="s">
        <v>783</v>
      </c>
      <c r="B745" s="1">
        <v>45119</v>
      </c>
      <c r="C745" t="s">
        <v>29</v>
      </c>
      <c r="D745" t="s">
        <v>12</v>
      </c>
      <c r="E745" s="4">
        <v>4</v>
      </c>
      <c r="F745" s="4">
        <v>12500</v>
      </c>
      <c r="G745" s="4">
        <v>50000</v>
      </c>
      <c r="H745" t="s">
        <v>36</v>
      </c>
      <c r="I745" t="s">
        <v>62</v>
      </c>
      <c r="J745" t="s">
        <v>62</v>
      </c>
    </row>
    <row r="746" spans="1:10" x14ac:dyDescent="0.25">
      <c r="A746" t="s">
        <v>784</v>
      </c>
      <c r="B746" s="1">
        <v>45269</v>
      </c>
      <c r="C746" t="s">
        <v>23</v>
      </c>
      <c r="D746" t="s">
        <v>33</v>
      </c>
      <c r="E746" s="4">
        <v>2</v>
      </c>
      <c r="F746" s="4">
        <v>5000</v>
      </c>
      <c r="G746" s="4">
        <v>10000</v>
      </c>
      <c r="H746" t="s">
        <v>36</v>
      </c>
      <c r="I746" t="s">
        <v>62</v>
      </c>
      <c r="J746" t="s">
        <v>62</v>
      </c>
    </row>
    <row r="747" spans="1:10" x14ac:dyDescent="0.25">
      <c r="A747" t="s">
        <v>785</v>
      </c>
      <c r="B747" s="1">
        <v>45116</v>
      </c>
      <c r="C747" t="s">
        <v>32</v>
      </c>
      <c r="D747" t="s">
        <v>20</v>
      </c>
      <c r="E747" s="4">
        <v>1</v>
      </c>
      <c r="F747" s="4">
        <v>15000</v>
      </c>
      <c r="G747" s="4">
        <v>15000</v>
      </c>
      <c r="H747" t="s">
        <v>13</v>
      </c>
      <c r="I747" t="s">
        <v>25</v>
      </c>
      <c r="J747" t="s">
        <v>25</v>
      </c>
    </row>
    <row r="748" spans="1:10" x14ac:dyDescent="0.25">
      <c r="A748" t="s">
        <v>786</v>
      </c>
      <c r="B748" s="1">
        <v>45226</v>
      </c>
      <c r="C748" t="s">
        <v>29</v>
      </c>
      <c r="D748" t="s">
        <v>33</v>
      </c>
      <c r="E748" s="4">
        <v>3</v>
      </c>
      <c r="F748" s="4">
        <v>12500</v>
      </c>
      <c r="G748" s="4">
        <v>37500</v>
      </c>
      <c r="H748" t="s">
        <v>17</v>
      </c>
      <c r="I748" t="s">
        <v>14</v>
      </c>
      <c r="J748" t="s">
        <v>14</v>
      </c>
    </row>
    <row r="749" spans="1:10" x14ac:dyDescent="0.25">
      <c r="A749" t="s">
        <v>787</v>
      </c>
      <c r="B749" s="1">
        <v>45087</v>
      </c>
      <c r="C749" t="s">
        <v>23</v>
      </c>
      <c r="D749" t="s">
        <v>24</v>
      </c>
      <c r="E749" s="4">
        <v>1</v>
      </c>
      <c r="F749" s="4">
        <v>10000</v>
      </c>
      <c r="G749" s="4">
        <v>10000</v>
      </c>
      <c r="H749" t="s">
        <v>13</v>
      </c>
      <c r="I749" t="s">
        <v>27</v>
      </c>
      <c r="J749" t="s">
        <v>14</v>
      </c>
    </row>
    <row r="750" spans="1:10" x14ac:dyDescent="0.25">
      <c r="A750" t="s">
        <v>788</v>
      </c>
      <c r="B750" s="1">
        <v>45113</v>
      </c>
      <c r="C750" t="s">
        <v>35</v>
      </c>
      <c r="D750" t="s">
        <v>33</v>
      </c>
      <c r="E750" s="4">
        <v>2</v>
      </c>
      <c r="F750" s="4">
        <v>20000</v>
      </c>
      <c r="G750" s="4">
        <v>40000</v>
      </c>
      <c r="H750" t="s">
        <v>17</v>
      </c>
      <c r="I750" t="s">
        <v>14</v>
      </c>
      <c r="J750" t="s">
        <v>14</v>
      </c>
    </row>
    <row r="751" spans="1:10" x14ac:dyDescent="0.25">
      <c r="A751" t="s">
        <v>789</v>
      </c>
      <c r="B751" s="1">
        <v>45116</v>
      </c>
      <c r="C751" t="s">
        <v>42</v>
      </c>
      <c r="D751" t="s">
        <v>50</v>
      </c>
      <c r="E751" s="4">
        <v>4</v>
      </c>
      <c r="F751" s="4">
        <v>10000</v>
      </c>
      <c r="G751" s="4">
        <v>40000</v>
      </c>
      <c r="H751" t="s">
        <v>21</v>
      </c>
      <c r="I751" t="s">
        <v>18</v>
      </c>
      <c r="J751" t="s">
        <v>18</v>
      </c>
    </row>
    <row r="752" spans="1:10" x14ac:dyDescent="0.25">
      <c r="A752" t="s">
        <v>790</v>
      </c>
      <c r="B752" s="1">
        <v>44999</v>
      </c>
      <c r="C752" t="s">
        <v>66</v>
      </c>
      <c r="D752" t="s">
        <v>60</v>
      </c>
      <c r="E752" s="4">
        <v>2</v>
      </c>
      <c r="F752" s="4">
        <v>10000</v>
      </c>
      <c r="G752" s="4">
        <v>20000</v>
      </c>
      <c r="H752" t="s">
        <v>13</v>
      </c>
      <c r="I752" t="s">
        <v>18</v>
      </c>
      <c r="J752" t="s">
        <v>18</v>
      </c>
    </row>
    <row r="753" spans="1:10" x14ac:dyDescent="0.25">
      <c r="A753" t="s">
        <v>791</v>
      </c>
      <c r="B753" s="1">
        <v>45259</v>
      </c>
      <c r="C753" t="s">
        <v>11</v>
      </c>
      <c r="D753" t="s">
        <v>20</v>
      </c>
      <c r="E753" s="4">
        <v>4</v>
      </c>
      <c r="F753" s="4">
        <v>20000</v>
      </c>
      <c r="G753" s="4">
        <v>80000</v>
      </c>
      <c r="H753" t="s">
        <v>21</v>
      </c>
      <c r="I753" t="s">
        <v>25</v>
      </c>
      <c r="J753" t="s">
        <v>25</v>
      </c>
    </row>
    <row r="754" spans="1:10" x14ac:dyDescent="0.25">
      <c r="A754" t="s">
        <v>792</v>
      </c>
      <c r="B754" s="1">
        <v>45025</v>
      </c>
      <c r="C754" t="s">
        <v>11</v>
      </c>
      <c r="D754" t="s">
        <v>44</v>
      </c>
      <c r="E754" s="4">
        <v>5</v>
      </c>
      <c r="F754" s="4">
        <v>10000</v>
      </c>
      <c r="G754" s="4">
        <v>50000</v>
      </c>
      <c r="H754" t="s">
        <v>13</v>
      </c>
      <c r="I754" t="s">
        <v>25</v>
      </c>
      <c r="J754" t="s">
        <v>25</v>
      </c>
    </row>
    <row r="755" spans="1:10" x14ac:dyDescent="0.25">
      <c r="A755" t="s">
        <v>793</v>
      </c>
      <c r="B755" s="1">
        <v>45065</v>
      </c>
      <c r="C755" t="s">
        <v>66</v>
      </c>
      <c r="D755" t="s">
        <v>12</v>
      </c>
      <c r="E755" s="4">
        <v>5</v>
      </c>
      <c r="F755" s="4">
        <v>5000</v>
      </c>
      <c r="G755" s="4">
        <v>25000</v>
      </c>
      <c r="H755" t="s">
        <v>36</v>
      </c>
      <c r="I755" t="s">
        <v>27</v>
      </c>
      <c r="J755" t="s">
        <v>27</v>
      </c>
    </row>
    <row r="756" spans="1:10" x14ac:dyDescent="0.25">
      <c r="A756" t="s">
        <v>794</v>
      </c>
      <c r="B756" s="1">
        <v>45042</v>
      </c>
      <c r="C756" t="s">
        <v>23</v>
      </c>
      <c r="D756" t="s">
        <v>60</v>
      </c>
      <c r="E756" s="4">
        <v>1</v>
      </c>
      <c r="F756" s="4">
        <v>5000</v>
      </c>
      <c r="G756" s="4">
        <v>5000</v>
      </c>
      <c r="H756" t="s">
        <v>13</v>
      </c>
      <c r="I756" t="s">
        <v>25</v>
      </c>
      <c r="J756" t="s">
        <v>25</v>
      </c>
    </row>
    <row r="757" spans="1:10" x14ac:dyDescent="0.25">
      <c r="A757" t="s">
        <v>795</v>
      </c>
      <c r="B757" s="1">
        <v>45177</v>
      </c>
      <c r="C757" t="s">
        <v>35</v>
      </c>
      <c r="D757" t="s">
        <v>12</v>
      </c>
      <c r="E757" s="4">
        <v>5</v>
      </c>
      <c r="F757" s="4">
        <v>15000</v>
      </c>
      <c r="G757" s="4">
        <v>75000</v>
      </c>
      <c r="H757" t="s">
        <v>21</v>
      </c>
      <c r="I757" t="s">
        <v>18</v>
      </c>
      <c r="J757" t="s">
        <v>18</v>
      </c>
    </row>
    <row r="758" spans="1:10" x14ac:dyDescent="0.25">
      <c r="A758" t="s">
        <v>796</v>
      </c>
      <c r="B758" s="1">
        <v>45103</v>
      </c>
      <c r="C758" t="s">
        <v>11</v>
      </c>
      <c r="D758" t="s">
        <v>33</v>
      </c>
      <c r="E758" s="4">
        <v>5</v>
      </c>
      <c r="F758" s="4">
        <v>15000</v>
      </c>
      <c r="G758" s="4">
        <v>75000</v>
      </c>
      <c r="H758" t="s">
        <v>36</v>
      </c>
      <c r="I758" t="s">
        <v>18</v>
      </c>
      <c r="J758" t="s">
        <v>18</v>
      </c>
    </row>
    <row r="759" spans="1:10" x14ac:dyDescent="0.25">
      <c r="A759" t="s">
        <v>797</v>
      </c>
      <c r="B759" s="1">
        <v>45217</v>
      </c>
      <c r="C759" t="s">
        <v>29</v>
      </c>
      <c r="D759" t="s">
        <v>60</v>
      </c>
      <c r="E759" s="4">
        <v>1</v>
      </c>
      <c r="F759" s="4">
        <v>10000</v>
      </c>
      <c r="G759" s="4">
        <v>10000</v>
      </c>
      <c r="H759" t="s">
        <v>21</v>
      </c>
      <c r="I759" t="s">
        <v>14</v>
      </c>
      <c r="J759" t="s">
        <v>14</v>
      </c>
    </row>
    <row r="760" spans="1:10" x14ac:dyDescent="0.25">
      <c r="A760" t="s">
        <v>798</v>
      </c>
      <c r="B760" s="1">
        <v>45116</v>
      </c>
      <c r="C760" t="s">
        <v>29</v>
      </c>
      <c r="D760" t="s">
        <v>60</v>
      </c>
      <c r="E760" s="4">
        <v>3</v>
      </c>
      <c r="F760" s="4">
        <v>20000</v>
      </c>
      <c r="G760" s="4">
        <v>60000</v>
      </c>
      <c r="H760" t="s">
        <v>13</v>
      </c>
      <c r="I760" t="s">
        <v>62</v>
      </c>
      <c r="J760" t="s">
        <v>62</v>
      </c>
    </row>
    <row r="761" spans="1:10" x14ac:dyDescent="0.25">
      <c r="A761" t="s">
        <v>799</v>
      </c>
      <c r="B761" s="1">
        <v>45116</v>
      </c>
      <c r="C761" t="s">
        <v>32</v>
      </c>
      <c r="D761" t="s">
        <v>12</v>
      </c>
      <c r="E761" s="4">
        <v>3</v>
      </c>
      <c r="F761" s="4">
        <v>10000</v>
      </c>
      <c r="G761" s="4">
        <v>30000</v>
      </c>
      <c r="H761" t="s">
        <v>13</v>
      </c>
      <c r="I761" t="s">
        <v>18</v>
      </c>
      <c r="J761" t="s">
        <v>18</v>
      </c>
    </row>
    <row r="762" spans="1:10" x14ac:dyDescent="0.25">
      <c r="A762" t="s">
        <v>800</v>
      </c>
      <c r="B762" s="1">
        <v>45144</v>
      </c>
      <c r="C762" t="s">
        <v>29</v>
      </c>
      <c r="D762" t="s">
        <v>33</v>
      </c>
      <c r="E762" s="4">
        <v>3</v>
      </c>
      <c r="F762" s="4">
        <v>10000</v>
      </c>
      <c r="G762" s="4">
        <v>30000</v>
      </c>
      <c r="H762" t="s">
        <v>36</v>
      </c>
      <c r="I762" t="s">
        <v>18</v>
      </c>
      <c r="J762" t="s">
        <v>18</v>
      </c>
    </row>
    <row r="763" spans="1:10" x14ac:dyDescent="0.25">
      <c r="A763" t="s">
        <v>801</v>
      </c>
      <c r="B763" s="1">
        <v>44930</v>
      </c>
      <c r="C763" t="s">
        <v>29</v>
      </c>
      <c r="D763" t="s">
        <v>38</v>
      </c>
      <c r="E763" s="4">
        <v>3</v>
      </c>
      <c r="F763" s="4">
        <v>15000</v>
      </c>
      <c r="G763" s="4">
        <v>45000</v>
      </c>
      <c r="H763" t="s">
        <v>21</v>
      </c>
      <c r="I763" t="s">
        <v>14</v>
      </c>
      <c r="J763" t="s">
        <v>14</v>
      </c>
    </row>
    <row r="764" spans="1:10" x14ac:dyDescent="0.25">
      <c r="A764" t="s">
        <v>802</v>
      </c>
      <c r="B764" s="1">
        <v>45237</v>
      </c>
      <c r="C764" t="s">
        <v>23</v>
      </c>
      <c r="D764" t="s">
        <v>24</v>
      </c>
      <c r="E764" s="4">
        <v>2</v>
      </c>
      <c r="F764" s="4">
        <v>10000</v>
      </c>
      <c r="G764" s="4">
        <v>20000</v>
      </c>
      <c r="H764" t="s">
        <v>13</v>
      </c>
      <c r="I764" t="s">
        <v>14</v>
      </c>
      <c r="J764" t="s">
        <v>14</v>
      </c>
    </row>
    <row r="765" spans="1:10" x14ac:dyDescent="0.25">
      <c r="A765" t="s">
        <v>803</v>
      </c>
      <c r="B765" s="1">
        <v>45128</v>
      </c>
      <c r="C765" t="s">
        <v>75</v>
      </c>
      <c r="D765" t="s">
        <v>30</v>
      </c>
      <c r="E765" s="4">
        <v>3</v>
      </c>
      <c r="F765" s="4">
        <v>10000</v>
      </c>
      <c r="G765" s="4">
        <v>30000</v>
      </c>
      <c r="H765" t="s">
        <v>17</v>
      </c>
      <c r="I765" t="s">
        <v>27</v>
      </c>
      <c r="J765" t="s">
        <v>25</v>
      </c>
    </row>
    <row r="766" spans="1:10" x14ac:dyDescent="0.25">
      <c r="A766" t="s">
        <v>804</v>
      </c>
      <c r="B766" s="1">
        <v>44981</v>
      </c>
      <c r="C766" t="s">
        <v>32</v>
      </c>
      <c r="D766" t="s">
        <v>48</v>
      </c>
      <c r="E766" s="4">
        <v>3</v>
      </c>
      <c r="F766" s="4">
        <v>10000</v>
      </c>
      <c r="G766" s="4">
        <v>30000</v>
      </c>
      <c r="H766" t="s">
        <v>36</v>
      </c>
      <c r="I766" t="s">
        <v>62</v>
      </c>
      <c r="J766" t="s">
        <v>62</v>
      </c>
    </row>
    <row r="767" spans="1:10" x14ac:dyDescent="0.25">
      <c r="A767" t="s">
        <v>805</v>
      </c>
      <c r="B767" s="1">
        <v>44990</v>
      </c>
      <c r="C767" t="s">
        <v>55</v>
      </c>
      <c r="D767" t="s">
        <v>24</v>
      </c>
      <c r="E767" s="4">
        <v>1</v>
      </c>
      <c r="F767" s="4">
        <v>10000</v>
      </c>
      <c r="G767" s="4">
        <v>10000</v>
      </c>
      <c r="H767" t="s">
        <v>21</v>
      </c>
      <c r="I767" t="s">
        <v>14</v>
      </c>
      <c r="J767" t="s">
        <v>14</v>
      </c>
    </row>
    <row r="768" spans="1:10" x14ac:dyDescent="0.25">
      <c r="A768" t="s">
        <v>806</v>
      </c>
      <c r="B768" s="1">
        <v>44982</v>
      </c>
      <c r="C768" t="s">
        <v>66</v>
      </c>
      <c r="D768" t="s">
        <v>24</v>
      </c>
      <c r="E768" s="4">
        <v>3</v>
      </c>
      <c r="F768" s="4">
        <v>12500</v>
      </c>
      <c r="G768" s="4">
        <v>37500</v>
      </c>
      <c r="H768" t="s">
        <v>13</v>
      </c>
      <c r="I768" t="s">
        <v>14</v>
      </c>
      <c r="J768" t="s">
        <v>14</v>
      </c>
    </row>
    <row r="769" spans="1:10" x14ac:dyDescent="0.25">
      <c r="A769" t="s">
        <v>807</v>
      </c>
      <c r="B769" s="1">
        <v>45142</v>
      </c>
      <c r="C769" t="s">
        <v>29</v>
      </c>
      <c r="D769" t="s">
        <v>44</v>
      </c>
      <c r="E769" s="4">
        <v>1</v>
      </c>
      <c r="F769" s="4">
        <v>10000</v>
      </c>
      <c r="G769" s="4">
        <v>10000</v>
      </c>
      <c r="H769" t="s">
        <v>13</v>
      </c>
      <c r="I769" t="s">
        <v>25</v>
      </c>
      <c r="J769" t="s">
        <v>25</v>
      </c>
    </row>
    <row r="770" spans="1:10" x14ac:dyDescent="0.25">
      <c r="A770" t="s">
        <v>808</v>
      </c>
      <c r="B770" s="1">
        <v>45116</v>
      </c>
      <c r="C770" t="s">
        <v>23</v>
      </c>
      <c r="D770" t="s">
        <v>44</v>
      </c>
      <c r="E770" s="4">
        <v>4</v>
      </c>
      <c r="F770" s="4">
        <v>15000</v>
      </c>
      <c r="G770" s="4">
        <v>60000</v>
      </c>
      <c r="H770" t="s">
        <v>36</v>
      </c>
      <c r="I770" t="s">
        <v>14</v>
      </c>
      <c r="J770" t="s">
        <v>14</v>
      </c>
    </row>
    <row r="771" spans="1:10" x14ac:dyDescent="0.25">
      <c r="A771" t="s">
        <v>809</v>
      </c>
      <c r="B771" s="1">
        <v>45277</v>
      </c>
      <c r="C771" t="s">
        <v>32</v>
      </c>
      <c r="D771" t="s">
        <v>30</v>
      </c>
      <c r="E771" s="4">
        <v>1</v>
      </c>
      <c r="F771" s="4">
        <v>10000</v>
      </c>
      <c r="G771" s="4">
        <v>10000</v>
      </c>
      <c r="H771" t="s">
        <v>36</v>
      </c>
      <c r="I771" t="s">
        <v>18</v>
      </c>
      <c r="J771" t="s">
        <v>18</v>
      </c>
    </row>
    <row r="772" spans="1:10" x14ac:dyDescent="0.25">
      <c r="A772" t="s">
        <v>810</v>
      </c>
      <c r="B772" s="1">
        <v>45005</v>
      </c>
      <c r="C772" t="s">
        <v>16</v>
      </c>
      <c r="D772" t="s">
        <v>33</v>
      </c>
      <c r="E772" s="4">
        <v>2</v>
      </c>
      <c r="F772" s="4">
        <v>10000</v>
      </c>
      <c r="G772" s="4">
        <v>20000</v>
      </c>
      <c r="H772" t="s">
        <v>17</v>
      </c>
      <c r="I772" t="s">
        <v>62</v>
      </c>
      <c r="J772" t="s">
        <v>62</v>
      </c>
    </row>
    <row r="773" spans="1:10" x14ac:dyDescent="0.25">
      <c r="A773" t="s">
        <v>811</v>
      </c>
      <c r="B773" s="1">
        <v>45184</v>
      </c>
      <c r="C773" t="s">
        <v>23</v>
      </c>
      <c r="D773" t="s">
        <v>50</v>
      </c>
      <c r="E773" s="4">
        <v>2</v>
      </c>
      <c r="F773" s="4">
        <v>10000</v>
      </c>
      <c r="G773" s="4">
        <v>20000</v>
      </c>
      <c r="H773" t="s">
        <v>13</v>
      </c>
      <c r="I773" t="s">
        <v>14</v>
      </c>
      <c r="J773" t="s">
        <v>14</v>
      </c>
    </row>
    <row r="774" spans="1:10" x14ac:dyDescent="0.25">
      <c r="A774" t="s">
        <v>812</v>
      </c>
      <c r="B774" s="1">
        <v>44973</v>
      </c>
      <c r="C774" t="s">
        <v>16</v>
      </c>
      <c r="D774" t="s">
        <v>48</v>
      </c>
      <c r="E774" s="4">
        <v>4</v>
      </c>
      <c r="F774" s="4">
        <v>20000</v>
      </c>
      <c r="G774" s="4">
        <v>80000</v>
      </c>
      <c r="H774" t="s">
        <v>21</v>
      </c>
      <c r="I774" t="s">
        <v>14</v>
      </c>
      <c r="J774" t="s">
        <v>14</v>
      </c>
    </row>
    <row r="775" spans="1:10" x14ac:dyDescent="0.25">
      <c r="A775" t="s">
        <v>813</v>
      </c>
      <c r="B775" s="1">
        <v>45064</v>
      </c>
      <c r="C775" t="s">
        <v>66</v>
      </c>
      <c r="D775" t="s">
        <v>44</v>
      </c>
      <c r="E775" s="4">
        <v>3</v>
      </c>
      <c r="F775" s="4">
        <v>15000</v>
      </c>
      <c r="G775" s="4">
        <v>45000</v>
      </c>
      <c r="H775" t="s">
        <v>36</v>
      </c>
      <c r="I775" t="s">
        <v>27</v>
      </c>
      <c r="J775" t="s">
        <v>14</v>
      </c>
    </row>
    <row r="776" spans="1:10" x14ac:dyDescent="0.25">
      <c r="A776" t="s">
        <v>814</v>
      </c>
      <c r="B776" s="1">
        <v>45116</v>
      </c>
      <c r="C776" t="s">
        <v>35</v>
      </c>
      <c r="D776" t="s">
        <v>24</v>
      </c>
      <c r="E776" s="4">
        <v>3</v>
      </c>
      <c r="F776" s="4">
        <v>15000</v>
      </c>
      <c r="G776" s="4">
        <v>45000</v>
      </c>
      <c r="H776" t="s">
        <v>36</v>
      </c>
      <c r="I776" t="s">
        <v>14</v>
      </c>
      <c r="J776" t="s">
        <v>14</v>
      </c>
    </row>
    <row r="777" spans="1:10" x14ac:dyDescent="0.25">
      <c r="A777" t="s">
        <v>815</v>
      </c>
      <c r="B777" s="1">
        <v>45116</v>
      </c>
      <c r="C777" t="s">
        <v>42</v>
      </c>
      <c r="D777" t="s">
        <v>20</v>
      </c>
      <c r="E777" s="4">
        <v>3</v>
      </c>
      <c r="F777" s="4">
        <v>15000</v>
      </c>
      <c r="G777" s="4">
        <v>45000</v>
      </c>
      <c r="H777" t="s">
        <v>21</v>
      </c>
      <c r="I777" t="s">
        <v>18</v>
      </c>
      <c r="J777" t="s">
        <v>18</v>
      </c>
    </row>
    <row r="778" spans="1:10" x14ac:dyDescent="0.25">
      <c r="A778" t="s">
        <v>816</v>
      </c>
      <c r="B778" s="1">
        <v>44981</v>
      </c>
      <c r="C778" t="s">
        <v>75</v>
      </c>
      <c r="D778" t="s">
        <v>20</v>
      </c>
      <c r="E778" s="4">
        <v>3</v>
      </c>
      <c r="F778" s="4">
        <v>10000</v>
      </c>
      <c r="G778" s="4">
        <v>30000</v>
      </c>
      <c r="H778" t="s">
        <v>17</v>
      </c>
      <c r="I778" t="s">
        <v>27</v>
      </c>
      <c r="J778" t="s">
        <v>27</v>
      </c>
    </row>
    <row r="779" spans="1:10" x14ac:dyDescent="0.25">
      <c r="A779" t="s">
        <v>817</v>
      </c>
      <c r="B779" s="1">
        <v>44977</v>
      </c>
      <c r="C779" t="s">
        <v>16</v>
      </c>
      <c r="D779" t="s">
        <v>24</v>
      </c>
      <c r="E779" s="4">
        <v>5</v>
      </c>
      <c r="F779" s="4">
        <v>15000</v>
      </c>
      <c r="G779" s="4">
        <v>75000</v>
      </c>
      <c r="H779" t="s">
        <v>21</v>
      </c>
      <c r="I779" t="s">
        <v>25</v>
      </c>
      <c r="J779" t="s">
        <v>25</v>
      </c>
    </row>
    <row r="780" spans="1:10" x14ac:dyDescent="0.25">
      <c r="A780" t="s">
        <v>818</v>
      </c>
      <c r="B780" s="1">
        <v>45213</v>
      </c>
      <c r="C780" t="s">
        <v>23</v>
      </c>
      <c r="D780" t="s">
        <v>44</v>
      </c>
      <c r="E780" s="4">
        <v>3</v>
      </c>
      <c r="F780" s="4">
        <v>20000</v>
      </c>
      <c r="G780" s="4">
        <v>60000</v>
      </c>
      <c r="H780" t="s">
        <v>17</v>
      </c>
      <c r="I780" t="s">
        <v>25</v>
      </c>
      <c r="J780" t="s">
        <v>25</v>
      </c>
    </row>
    <row r="781" spans="1:10" x14ac:dyDescent="0.25">
      <c r="A781" t="s">
        <v>819</v>
      </c>
      <c r="B781" s="1">
        <v>45067</v>
      </c>
      <c r="C781" t="s">
        <v>68</v>
      </c>
      <c r="D781" t="s">
        <v>20</v>
      </c>
      <c r="E781" s="4">
        <v>3</v>
      </c>
      <c r="F781" s="4">
        <v>5000</v>
      </c>
      <c r="G781" s="4">
        <v>15000</v>
      </c>
      <c r="H781" t="s">
        <v>17</v>
      </c>
      <c r="I781" t="s">
        <v>14</v>
      </c>
      <c r="J781" t="s">
        <v>14</v>
      </c>
    </row>
    <row r="782" spans="1:10" x14ac:dyDescent="0.25">
      <c r="A782" t="s">
        <v>820</v>
      </c>
      <c r="B782" s="1">
        <v>45189</v>
      </c>
      <c r="C782" t="s">
        <v>16</v>
      </c>
      <c r="D782" t="s">
        <v>24</v>
      </c>
      <c r="E782" s="4">
        <v>5</v>
      </c>
      <c r="F782" s="4">
        <v>10000</v>
      </c>
      <c r="G782" s="4">
        <v>50000</v>
      </c>
      <c r="H782" t="s">
        <v>21</v>
      </c>
      <c r="I782" t="s">
        <v>62</v>
      </c>
      <c r="J782" t="s">
        <v>62</v>
      </c>
    </row>
    <row r="783" spans="1:10" x14ac:dyDescent="0.25">
      <c r="A783" t="s">
        <v>821</v>
      </c>
      <c r="B783" s="1">
        <v>45116</v>
      </c>
      <c r="C783" t="s">
        <v>32</v>
      </c>
      <c r="D783" t="s">
        <v>48</v>
      </c>
      <c r="E783" s="4">
        <v>3</v>
      </c>
      <c r="F783" s="4">
        <v>10000</v>
      </c>
      <c r="G783" s="4">
        <v>30000</v>
      </c>
      <c r="H783" t="s">
        <v>13</v>
      </c>
      <c r="I783" t="s">
        <v>62</v>
      </c>
      <c r="J783" t="s">
        <v>62</v>
      </c>
    </row>
    <row r="784" spans="1:10" x14ac:dyDescent="0.25">
      <c r="A784" t="s">
        <v>822</v>
      </c>
      <c r="B784" s="1">
        <v>45116</v>
      </c>
      <c r="C784" t="s">
        <v>68</v>
      </c>
      <c r="D784" t="s">
        <v>50</v>
      </c>
      <c r="E784" s="4">
        <v>3</v>
      </c>
      <c r="F784" s="4">
        <v>15000</v>
      </c>
      <c r="G784" s="4">
        <v>45000</v>
      </c>
      <c r="H784" t="s">
        <v>21</v>
      </c>
      <c r="I784" t="s">
        <v>14</v>
      </c>
      <c r="J784" t="s">
        <v>14</v>
      </c>
    </row>
    <row r="785" spans="1:10" x14ac:dyDescent="0.25">
      <c r="A785" t="s">
        <v>823</v>
      </c>
      <c r="B785" s="1">
        <v>45109</v>
      </c>
      <c r="C785" t="s">
        <v>42</v>
      </c>
      <c r="D785" t="s">
        <v>30</v>
      </c>
      <c r="E785" s="4">
        <v>3</v>
      </c>
      <c r="F785" s="4">
        <v>15000</v>
      </c>
      <c r="G785" s="4">
        <v>45000</v>
      </c>
      <c r="H785" t="s">
        <v>21</v>
      </c>
      <c r="I785" t="s">
        <v>27</v>
      </c>
      <c r="J785" t="s">
        <v>27</v>
      </c>
    </row>
    <row r="786" spans="1:10" x14ac:dyDescent="0.25">
      <c r="A786" t="s">
        <v>824</v>
      </c>
      <c r="B786" s="1">
        <v>45279</v>
      </c>
      <c r="C786" t="s">
        <v>16</v>
      </c>
      <c r="D786" t="s">
        <v>38</v>
      </c>
      <c r="E786" s="4">
        <v>3</v>
      </c>
      <c r="F786" s="4">
        <v>15000</v>
      </c>
      <c r="G786" s="4">
        <v>45000</v>
      </c>
      <c r="H786" t="s">
        <v>13</v>
      </c>
      <c r="I786" t="s">
        <v>25</v>
      </c>
      <c r="J786" t="s">
        <v>25</v>
      </c>
    </row>
    <row r="787" spans="1:10" x14ac:dyDescent="0.25">
      <c r="A787" t="s">
        <v>825</v>
      </c>
      <c r="B787" s="1">
        <v>45155</v>
      </c>
      <c r="C787" t="s">
        <v>55</v>
      </c>
      <c r="D787" t="s">
        <v>30</v>
      </c>
      <c r="E787" s="4">
        <v>3</v>
      </c>
      <c r="F787" s="4">
        <v>10000</v>
      </c>
      <c r="G787" s="4">
        <v>30000</v>
      </c>
      <c r="H787" t="s">
        <v>21</v>
      </c>
      <c r="I787" t="s">
        <v>14</v>
      </c>
      <c r="J787" t="s">
        <v>14</v>
      </c>
    </row>
    <row r="788" spans="1:10" x14ac:dyDescent="0.25">
      <c r="A788" t="s">
        <v>826</v>
      </c>
      <c r="B788" s="1">
        <v>45178</v>
      </c>
      <c r="C788" t="s">
        <v>11</v>
      </c>
      <c r="D788" t="s">
        <v>20</v>
      </c>
      <c r="E788" s="4">
        <v>3</v>
      </c>
      <c r="F788" s="4">
        <v>15000</v>
      </c>
      <c r="G788" s="4">
        <v>45000</v>
      </c>
      <c r="H788" t="s">
        <v>21</v>
      </c>
      <c r="I788" t="s">
        <v>14</v>
      </c>
      <c r="J788" t="s">
        <v>14</v>
      </c>
    </row>
    <row r="789" spans="1:10" x14ac:dyDescent="0.25">
      <c r="A789" t="s">
        <v>827</v>
      </c>
      <c r="B789" s="1">
        <v>44949</v>
      </c>
      <c r="C789" t="s">
        <v>29</v>
      </c>
      <c r="D789" t="s">
        <v>20</v>
      </c>
      <c r="E789" s="4">
        <v>2</v>
      </c>
      <c r="F789" s="4">
        <v>12500</v>
      </c>
      <c r="G789" s="4">
        <v>25000</v>
      </c>
      <c r="H789" t="s">
        <v>21</v>
      </c>
      <c r="I789" t="s">
        <v>27</v>
      </c>
      <c r="J789" t="s">
        <v>14</v>
      </c>
    </row>
    <row r="790" spans="1:10" x14ac:dyDescent="0.25">
      <c r="A790" t="s">
        <v>828</v>
      </c>
      <c r="B790" s="1">
        <v>45100</v>
      </c>
      <c r="C790" t="s">
        <v>35</v>
      </c>
      <c r="D790" t="s">
        <v>12</v>
      </c>
      <c r="E790" s="4">
        <v>2</v>
      </c>
      <c r="F790" s="4">
        <v>10000</v>
      </c>
      <c r="G790" s="4">
        <v>20000</v>
      </c>
      <c r="H790" t="s">
        <v>36</v>
      </c>
      <c r="I790" t="s">
        <v>14</v>
      </c>
      <c r="J790" t="s">
        <v>14</v>
      </c>
    </row>
    <row r="791" spans="1:10" x14ac:dyDescent="0.25">
      <c r="A791" t="s">
        <v>829</v>
      </c>
      <c r="B791" s="1">
        <v>44990</v>
      </c>
      <c r="C791" t="s">
        <v>42</v>
      </c>
      <c r="D791" t="s">
        <v>48</v>
      </c>
      <c r="E791" s="4">
        <v>1</v>
      </c>
      <c r="F791" s="4">
        <v>5000</v>
      </c>
      <c r="G791" s="4">
        <v>5000</v>
      </c>
      <c r="H791" t="s">
        <v>21</v>
      </c>
      <c r="I791" t="s">
        <v>27</v>
      </c>
      <c r="J791" t="s">
        <v>27</v>
      </c>
    </row>
    <row r="792" spans="1:10" x14ac:dyDescent="0.25">
      <c r="A792" t="s">
        <v>830</v>
      </c>
      <c r="B792" s="1">
        <v>45124</v>
      </c>
      <c r="C792" t="s">
        <v>29</v>
      </c>
      <c r="D792" t="s">
        <v>20</v>
      </c>
      <c r="E792" s="4">
        <v>3</v>
      </c>
      <c r="F792" s="4">
        <v>10000</v>
      </c>
      <c r="G792" s="4">
        <v>30000</v>
      </c>
      <c r="H792" t="s">
        <v>13</v>
      </c>
      <c r="I792" t="s">
        <v>25</v>
      </c>
      <c r="J792" t="s">
        <v>25</v>
      </c>
    </row>
    <row r="793" spans="1:10" x14ac:dyDescent="0.25">
      <c r="A793" t="s">
        <v>831</v>
      </c>
      <c r="B793" s="1">
        <v>44979</v>
      </c>
      <c r="C793" t="s">
        <v>66</v>
      </c>
      <c r="D793" t="s">
        <v>60</v>
      </c>
      <c r="E793" s="4">
        <v>3</v>
      </c>
      <c r="F793" s="4">
        <v>5000</v>
      </c>
      <c r="G793" s="4">
        <v>15000</v>
      </c>
      <c r="H793" t="s">
        <v>21</v>
      </c>
      <c r="I793" t="s">
        <v>27</v>
      </c>
      <c r="J793" t="s">
        <v>27</v>
      </c>
    </row>
    <row r="794" spans="1:10" x14ac:dyDescent="0.25">
      <c r="A794" t="s">
        <v>832</v>
      </c>
      <c r="B794" s="1">
        <v>45198</v>
      </c>
      <c r="C794" t="s">
        <v>29</v>
      </c>
      <c r="D794" t="s">
        <v>44</v>
      </c>
      <c r="E794" s="4">
        <v>5</v>
      </c>
      <c r="F794" s="4">
        <v>10000</v>
      </c>
      <c r="G794" s="4">
        <v>50000</v>
      </c>
      <c r="H794" t="s">
        <v>36</v>
      </c>
      <c r="I794" t="s">
        <v>14</v>
      </c>
      <c r="J794" t="s">
        <v>14</v>
      </c>
    </row>
    <row r="795" spans="1:10" x14ac:dyDescent="0.25">
      <c r="A795" t="s">
        <v>833</v>
      </c>
      <c r="B795" s="1">
        <v>45182</v>
      </c>
      <c r="C795" t="s">
        <v>11</v>
      </c>
      <c r="D795" t="s">
        <v>44</v>
      </c>
      <c r="E795" s="4">
        <v>3</v>
      </c>
      <c r="F795" s="4">
        <v>12500</v>
      </c>
      <c r="G795" s="4">
        <v>37500</v>
      </c>
      <c r="H795" t="s">
        <v>17</v>
      </c>
      <c r="I795" t="s">
        <v>27</v>
      </c>
      <c r="J795" t="s">
        <v>27</v>
      </c>
    </row>
    <row r="796" spans="1:10" x14ac:dyDescent="0.25">
      <c r="A796" t="s">
        <v>834</v>
      </c>
      <c r="B796" s="1">
        <v>45171</v>
      </c>
      <c r="C796" t="s">
        <v>23</v>
      </c>
      <c r="D796" t="s">
        <v>12</v>
      </c>
      <c r="E796" s="4">
        <v>1</v>
      </c>
      <c r="F796" s="4">
        <v>15000</v>
      </c>
      <c r="G796" s="4">
        <v>15000</v>
      </c>
      <c r="H796" t="s">
        <v>21</v>
      </c>
      <c r="I796" t="s">
        <v>14</v>
      </c>
      <c r="J796" t="s">
        <v>14</v>
      </c>
    </row>
    <row r="797" spans="1:10" x14ac:dyDescent="0.25">
      <c r="A797" t="s">
        <v>835</v>
      </c>
      <c r="B797" s="1">
        <v>45173</v>
      </c>
      <c r="C797" t="s">
        <v>29</v>
      </c>
      <c r="D797" t="s">
        <v>24</v>
      </c>
      <c r="E797" s="4">
        <v>5</v>
      </c>
      <c r="F797" s="4">
        <v>12500</v>
      </c>
      <c r="G797" s="4">
        <v>62500</v>
      </c>
      <c r="H797" t="s">
        <v>21</v>
      </c>
      <c r="I797" t="s">
        <v>14</v>
      </c>
      <c r="J797" t="s">
        <v>14</v>
      </c>
    </row>
    <row r="798" spans="1:10" x14ac:dyDescent="0.25">
      <c r="A798" t="s">
        <v>836</v>
      </c>
      <c r="B798" s="1">
        <v>45201</v>
      </c>
      <c r="C798" t="s">
        <v>75</v>
      </c>
      <c r="D798" t="s">
        <v>30</v>
      </c>
      <c r="E798" s="4">
        <v>4</v>
      </c>
      <c r="F798" s="4">
        <v>5000</v>
      </c>
      <c r="G798" s="4">
        <v>20000</v>
      </c>
      <c r="H798" t="s">
        <v>36</v>
      </c>
      <c r="I798" t="s">
        <v>18</v>
      </c>
      <c r="J798" t="s">
        <v>18</v>
      </c>
    </row>
    <row r="799" spans="1:10" x14ac:dyDescent="0.25">
      <c r="A799" t="s">
        <v>837</v>
      </c>
      <c r="B799" s="1">
        <v>45031</v>
      </c>
      <c r="C799" t="s">
        <v>32</v>
      </c>
      <c r="D799" t="s">
        <v>48</v>
      </c>
      <c r="E799" s="4">
        <v>3</v>
      </c>
      <c r="F799" s="4">
        <v>15000</v>
      </c>
      <c r="G799" s="4">
        <v>45000</v>
      </c>
      <c r="H799" t="s">
        <v>13</v>
      </c>
      <c r="I799" t="s">
        <v>27</v>
      </c>
      <c r="J799" t="s">
        <v>27</v>
      </c>
    </row>
    <row r="800" spans="1:10" x14ac:dyDescent="0.25">
      <c r="A800" t="s">
        <v>838</v>
      </c>
      <c r="B800" s="1">
        <v>45162</v>
      </c>
      <c r="C800" t="s">
        <v>32</v>
      </c>
      <c r="D800" t="s">
        <v>20</v>
      </c>
      <c r="E800" s="4">
        <v>5</v>
      </c>
      <c r="F800" s="4">
        <v>20000</v>
      </c>
      <c r="G800" s="4">
        <v>100000</v>
      </c>
      <c r="H800" t="s">
        <v>13</v>
      </c>
      <c r="I800" t="s">
        <v>14</v>
      </c>
      <c r="J800" t="s">
        <v>14</v>
      </c>
    </row>
    <row r="801" spans="1:10" x14ac:dyDescent="0.25">
      <c r="A801" t="s">
        <v>839</v>
      </c>
      <c r="B801" s="1">
        <v>45283</v>
      </c>
      <c r="C801" t="s">
        <v>23</v>
      </c>
      <c r="D801" t="s">
        <v>38</v>
      </c>
      <c r="E801" s="4">
        <v>3</v>
      </c>
      <c r="F801" s="4">
        <v>5000</v>
      </c>
      <c r="G801" s="4">
        <v>15000</v>
      </c>
      <c r="H801" t="s">
        <v>17</v>
      </c>
      <c r="I801" t="s">
        <v>18</v>
      </c>
      <c r="J801" t="s">
        <v>18</v>
      </c>
    </row>
    <row r="802" spans="1:10" x14ac:dyDescent="0.25">
      <c r="A802" t="s">
        <v>840</v>
      </c>
      <c r="B802" s="1">
        <v>45052</v>
      </c>
      <c r="C802" t="s">
        <v>55</v>
      </c>
      <c r="D802" t="s">
        <v>12</v>
      </c>
      <c r="E802" s="4">
        <v>1</v>
      </c>
      <c r="F802" s="4">
        <v>15000</v>
      </c>
      <c r="G802" s="4">
        <v>15000</v>
      </c>
      <c r="H802" t="s">
        <v>13</v>
      </c>
      <c r="I802" t="s">
        <v>14</v>
      </c>
      <c r="J802" t="s">
        <v>14</v>
      </c>
    </row>
    <row r="803" spans="1:10" x14ac:dyDescent="0.25">
      <c r="A803" t="s">
        <v>841</v>
      </c>
      <c r="B803" s="1">
        <v>45099</v>
      </c>
      <c r="C803" t="s">
        <v>11</v>
      </c>
      <c r="D803" t="s">
        <v>24</v>
      </c>
      <c r="E803" s="4">
        <v>3</v>
      </c>
      <c r="F803" s="4">
        <v>10000</v>
      </c>
      <c r="G803" s="4">
        <v>30000</v>
      </c>
      <c r="H803" t="s">
        <v>21</v>
      </c>
      <c r="I803" t="s">
        <v>27</v>
      </c>
      <c r="J803" t="s">
        <v>27</v>
      </c>
    </row>
    <row r="804" spans="1:10" x14ac:dyDescent="0.25">
      <c r="A804" t="s">
        <v>842</v>
      </c>
      <c r="B804" s="1">
        <v>45116</v>
      </c>
      <c r="C804" t="s">
        <v>42</v>
      </c>
      <c r="D804" t="s">
        <v>38</v>
      </c>
      <c r="E804" s="4">
        <v>3</v>
      </c>
      <c r="F804" s="4">
        <v>20000</v>
      </c>
      <c r="G804" s="4">
        <v>60000</v>
      </c>
      <c r="H804" t="s">
        <v>21</v>
      </c>
      <c r="I804" t="s">
        <v>18</v>
      </c>
      <c r="J804" t="s">
        <v>18</v>
      </c>
    </row>
    <row r="805" spans="1:10" x14ac:dyDescent="0.25">
      <c r="A805" t="s">
        <v>843</v>
      </c>
      <c r="B805" s="1">
        <v>45120</v>
      </c>
      <c r="C805" t="s">
        <v>68</v>
      </c>
      <c r="D805" t="s">
        <v>20</v>
      </c>
      <c r="E805" s="4">
        <v>3</v>
      </c>
      <c r="F805" s="4">
        <v>10000</v>
      </c>
      <c r="G805" s="4">
        <v>30000</v>
      </c>
      <c r="H805" t="s">
        <v>17</v>
      </c>
      <c r="I805" t="s">
        <v>14</v>
      </c>
      <c r="J805" t="s">
        <v>14</v>
      </c>
    </row>
    <row r="806" spans="1:10" x14ac:dyDescent="0.25">
      <c r="A806" t="s">
        <v>844</v>
      </c>
      <c r="B806" s="1">
        <v>45166</v>
      </c>
      <c r="C806" t="s">
        <v>11</v>
      </c>
      <c r="D806" t="s">
        <v>24</v>
      </c>
      <c r="E806" s="4">
        <v>3</v>
      </c>
      <c r="F806" s="4">
        <v>10000</v>
      </c>
      <c r="G806" s="4">
        <v>30000</v>
      </c>
      <c r="H806" t="s">
        <v>36</v>
      </c>
      <c r="I806" t="s">
        <v>25</v>
      </c>
      <c r="J806" t="s">
        <v>25</v>
      </c>
    </row>
    <row r="807" spans="1:10" x14ac:dyDescent="0.25">
      <c r="A807" t="s">
        <v>845</v>
      </c>
      <c r="B807" s="1">
        <v>45112</v>
      </c>
      <c r="C807" t="s">
        <v>42</v>
      </c>
      <c r="D807" t="s">
        <v>50</v>
      </c>
      <c r="E807" s="4">
        <v>3</v>
      </c>
      <c r="F807" s="4">
        <v>5000</v>
      </c>
      <c r="G807" s="4">
        <v>15000</v>
      </c>
      <c r="H807" t="s">
        <v>21</v>
      </c>
      <c r="I807" t="s">
        <v>27</v>
      </c>
      <c r="J807" t="s">
        <v>14</v>
      </c>
    </row>
    <row r="808" spans="1:10" x14ac:dyDescent="0.25">
      <c r="A808" t="s">
        <v>846</v>
      </c>
      <c r="B808" s="1">
        <v>45071</v>
      </c>
      <c r="C808" t="s">
        <v>11</v>
      </c>
      <c r="D808" t="s">
        <v>38</v>
      </c>
      <c r="E808" s="4">
        <v>5</v>
      </c>
      <c r="F808" s="4">
        <v>10000</v>
      </c>
      <c r="G808" s="4">
        <v>50000</v>
      </c>
      <c r="H808" t="s">
        <v>36</v>
      </c>
      <c r="I808" t="s">
        <v>62</v>
      </c>
      <c r="J808" t="s">
        <v>62</v>
      </c>
    </row>
    <row r="809" spans="1:10" x14ac:dyDescent="0.25">
      <c r="A809" t="s">
        <v>847</v>
      </c>
      <c r="B809" s="1">
        <v>45116</v>
      </c>
      <c r="C809" t="s">
        <v>32</v>
      </c>
      <c r="D809" t="s">
        <v>48</v>
      </c>
      <c r="E809" s="4">
        <v>5</v>
      </c>
      <c r="F809" s="4">
        <v>12500</v>
      </c>
      <c r="G809" s="4">
        <v>62500</v>
      </c>
      <c r="H809" t="s">
        <v>36</v>
      </c>
      <c r="I809" t="s">
        <v>18</v>
      </c>
      <c r="J809" t="s">
        <v>18</v>
      </c>
    </row>
    <row r="810" spans="1:10" x14ac:dyDescent="0.25">
      <c r="A810" t="s">
        <v>848</v>
      </c>
      <c r="B810" s="1">
        <v>45045</v>
      </c>
      <c r="C810" t="s">
        <v>42</v>
      </c>
      <c r="D810" t="s">
        <v>30</v>
      </c>
      <c r="E810" s="4">
        <v>3</v>
      </c>
      <c r="F810" s="4">
        <v>10000</v>
      </c>
      <c r="G810" s="4">
        <v>30000</v>
      </c>
      <c r="H810" t="s">
        <v>13</v>
      </c>
      <c r="I810" t="s">
        <v>18</v>
      </c>
      <c r="J810" t="s">
        <v>18</v>
      </c>
    </row>
    <row r="811" spans="1:10" x14ac:dyDescent="0.25">
      <c r="A811" t="s">
        <v>849</v>
      </c>
      <c r="B811" s="1">
        <v>44994</v>
      </c>
      <c r="C811" t="s">
        <v>29</v>
      </c>
      <c r="D811" t="s">
        <v>44</v>
      </c>
      <c r="E811" s="4">
        <v>3</v>
      </c>
      <c r="F811" s="4">
        <v>15000</v>
      </c>
      <c r="G811" s="4">
        <v>45000</v>
      </c>
      <c r="H811" t="s">
        <v>36</v>
      </c>
      <c r="I811" t="s">
        <v>27</v>
      </c>
      <c r="J811" t="s">
        <v>27</v>
      </c>
    </row>
    <row r="812" spans="1:10" x14ac:dyDescent="0.25">
      <c r="A812" t="s">
        <v>850</v>
      </c>
      <c r="B812" s="1">
        <v>45248</v>
      </c>
      <c r="C812" t="s">
        <v>42</v>
      </c>
      <c r="D812" t="s">
        <v>24</v>
      </c>
      <c r="E812" s="4">
        <v>1</v>
      </c>
      <c r="F812" s="4">
        <v>12500</v>
      </c>
      <c r="G812" s="4">
        <v>12500</v>
      </c>
      <c r="H812" t="s">
        <v>13</v>
      </c>
      <c r="I812" t="s">
        <v>62</v>
      </c>
      <c r="J812" t="s">
        <v>62</v>
      </c>
    </row>
    <row r="813" spans="1:10" x14ac:dyDescent="0.25">
      <c r="A813" t="s">
        <v>851</v>
      </c>
      <c r="B813" s="1">
        <v>45013</v>
      </c>
      <c r="C813" t="s">
        <v>23</v>
      </c>
      <c r="D813" t="s">
        <v>60</v>
      </c>
      <c r="E813" s="4">
        <v>2</v>
      </c>
      <c r="F813" s="4">
        <v>5000</v>
      </c>
      <c r="G813" s="4">
        <v>10000</v>
      </c>
      <c r="H813" t="s">
        <v>21</v>
      </c>
      <c r="I813" t="s">
        <v>62</v>
      </c>
      <c r="J813" t="s">
        <v>62</v>
      </c>
    </row>
    <row r="814" spans="1:10" x14ac:dyDescent="0.25">
      <c r="A814" t="s">
        <v>852</v>
      </c>
      <c r="B814" s="1">
        <v>45153</v>
      </c>
      <c r="C814" t="s">
        <v>35</v>
      </c>
      <c r="D814" t="s">
        <v>20</v>
      </c>
      <c r="E814" s="4">
        <v>1</v>
      </c>
      <c r="F814" s="4">
        <v>15000</v>
      </c>
      <c r="G814" s="4">
        <v>15000</v>
      </c>
      <c r="H814" t="s">
        <v>17</v>
      </c>
      <c r="I814" t="s">
        <v>62</v>
      </c>
      <c r="J814" t="s">
        <v>62</v>
      </c>
    </row>
    <row r="815" spans="1:10" x14ac:dyDescent="0.25">
      <c r="A815" t="s">
        <v>853</v>
      </c>
      <c r="B815" s="1">
        <v>45246</v>
      </c>
      <c r="C815" t="s">
        <v>55</v>
      </c>
      <c r="D815" t="s">
        <v>44</v>
      </c>
      <c r="E815" s="4">
        <v>3</v>
      </c>
      <c r="F815" s="4">
        <v>5000</v>
      </c>
      <c r="G815" s="4">
        <v>15000</v>
      </c>
      <c r="H815" t="s">
        <v>36</v>
      </c>
      <c r="I815" t="s">
        <v>18</v>
      </c>
      <c r="J815" t="s">
        <v>18</v>
      </c>
    </row>
    <row r="816" spans="1:10" x14ac:dyDescent="0.25">
      <c r="A816" t="s">
        <v>854</v>
      </c>
      <c r="B816" s="1">
        <v>45052</v>
      </c>
      <c r="C816" t="s">
        <v>11</v>
      </c>
      <c r="D816" t="s">
        <v>33</v>
      </c>
      <c r="E816" s="4">
        <v>1</v>
      </c>
      <c r="F816" s="4">
        <v>10000</v>
      </c>
      <c r="G816" s="4">
        <v>10000</v>
      </c>
      <c r="H816" t="s">
        <v>21</v>
      </c>
      <c r="I816" t="s">
        <v>25</v>
      </c>
      <c r="J816" t="s">
        <v>25</v>
      </c>
    </row>
    <row r="817" spans="1:10" x14ac:dyDescent="0.25">
      <c r="A817" t="s">
        <v>855</v>
      </c>
      <c r="B817" s="1">
        <v>45105</v>
      </c>
      <c r="C817" t="s">
        <v>23</v>
      </c>
      <c r="D817" t="s">
        <v>24</v>
      </c>
      <c r="E817" s="4">
        <v>4</v>
      </c>
      <c r="F817" s="4">
        <v>10000</v>
      </c>
      <c r="G817" s="4">
        <v>40000</v>
      </c>
      <c r="H817" t="s">
        <v>36</v>
      </c>
      <c r="I817" t="s">
        <v>27</v>
      </c>
      <c r="J817" t="s">
        <v>27</v>
      </c>
    </row>
    <row r="818" spans="1:10" x14ac:dyDescent="0.25">
      <c r="A818" t="s">
        <v>856</v>
      </c>
      <c r="B818" s="1">
        <v>45132</v>
      </c>
      <c r="C818" t="s">
        <v>55</v>
      </c>
      <c r="D818" t="s">
        <v>44</v>
      </c>
      <c r="E818" s="4">
        <v>1</v>
      </c>
      <c r="F818" s="4">
        <v>15000</v>
      </c>
      <c r="G818" s="4">
        <v>15000</v>
      </c>
      <c r="H818" t="s">
        <v>36</v>
      </c>
      <c r="I818" t="s">
        <v>14</v>
      </c>
      <c r="J818" t="s">
        <v>14</v>
      </c>
    </row>
    <row r="819" spans="1:10" x14ac:dyDescent="0.25">
      <c r="A819" t="s">
        <v>857</v>
      </c>
      <c r="B819" s="1">
        <v>45116</v>
      </c>
      <c r="C819" t="s">
        <v>66</v>
      </c>
      <c r="D819" t="s">
        <v>44</v>
      </c>
      <c r="E819" s="4">
        <v>5</v>
      </c>
      <c r="F819" s="4">
        <v>5000</v>
      </c>
      <c r="G819" s="4">
        <v>25000</v>
      </c>
      <c r="H819" t="s">
        <v>36</v>
      </c>
      <c r="I819" t="s">
        <v>27</v>
      </c>
      <c r="J819" t="s">
        <v>27</v>
      </c>
    </row>
    <row r="820" spans="1:10" x14ac:dyDescent="0.25">
      <c r="A820" t="s">
        <v>858</v>
      </c>
      <c r="B820" s="1">
        <v>45277</v>
      </c>
      <c r="C820" t="s">
        <v>11</v>
      </c>
      <c r="D820" t="s">
        <v>38</v>
      </c>
      <c r="E820" s="4">
        <v>3</v>
      </c>
      <c r="F820" s="4">
        <v>15000</v>
      </c>
      <c r="G820" s="4">
        <v>45000</v>
      </c>
      <c r="H820" t="s">
        <v>13</v>
      </c>
      <c r="I820" t="s">
        <v>27</v>
      </c>
      <c r="J820" t="s">
        <v>27</v>
      </c>
    </row>
    <row r="821" spans="1:10" x14ac:dyDescent="0.25">
      <c r="A821" t="s">
        <v>859</v>
      </c>
      <c r="B821" s="1">
        <v>45195</v>
      </c>
      <c r="C821" t="s">
        <v>68</v>
      </c>
      <c r="D821" t="s">
        <v>30</v>
      </c>
      <c r="E821" s="4">
        <v>3</v>
      </c>
      <c r="F821" s="4">
        <v>15000</v>
      </c>
      <c r="G821" s="4">
        <v>45000</v>
      </c>
      <c r="H821" t="s">
        <v>17</v>
      </c>
      <c r="I821" t="s">
        <v>27</v>
      </c>
      <c r="J821" t="s">
        <v>27</v>
      </c>
    </row>
    <row r="822" spans="1:10" x14ac:dyDescent="0.25">
      <c r="A822" t="s">
        <v>860</v>
      </c>
      <c r="B822" s="1">
        <v>45170</v>
      </c>
      <c r="C822" t="s">
        <v>75</v>
      </c>
      <c r="D822" t="s">
        <v>33</v>
      </c>
      <c r="E822" s="4">
        <v>3</v>
      </c>
      <c r="F822" s="4">
        <v>12500</v>
      </c>
      <c r="G822" s="4">
        <v>37500</v>
      </c>
      <c r="H822" t="s">
        <v>36</v>
      </c>
      <c r="I822" t="s">
        <v>62</v>
      </c>
      <c r="J822" t="s">
        <v>62</v>
      </c>
    </row>
    <row r="823" spans="1:10" x14ac:dyDescent="0.25">
      <c r="A823" t="s">
        <v>861</v>
      </c>
      <c r="B823" s="1">
        <v>45116</v>
      </c>
      <c r="C823" t="s">
        <v>66</v>
      </c>
      <c r="D823" t="s">
        <v>44</v>
      </c>
      <c r="E823" s="4">
        <v>1</v>
      </c>
      <c r="F823" s="4">
        <v>10000</v>
      </c>
      <c r="G823" s="4">
        <v>10000</v>
      </c>
      <c r="H823" t="s">
        <v>13</v>
      </c>
      <c r="I823" t="s">
        <v>25</v>
      </c>
      <c r="J823" t="s">
        <v>25</v>
      </c>
    </row>
    <row r="824" spans="1:10" x14ac:dyDescent="0.25">
      <c r="A824" t="s">
        <v>862</v>
      </c>
      <c r="B824" s="1">
        <v>45157</v>
      </c>
      <c r="C824" t="s">
        <v>16</v>
      </c>
      <c r="D824" t="s">
        <v>20</v>
      </c>
      <c r="E824" s="4">
        <v>3</v>
      </c>
      <c r="F824" s="4">
        <v>20000</v>
      </c>
      <c r="G824" s="4">
        <v>60000</v>
      </c>
      <c r="H824" t="s">
        <v>17</v>
      </c>
      <c r="I824" t="s">
        <v>27</v>
      </c>
      <c r="J824" t="s">
        <v>27</v>
      </c>
    </row>
    <row r="825" spans="1:10" x14ac:dyDescent="0.25">
      <c r="A825" t="s">
        <v>863</v>
      </c>
      <c r="B825" s="1">
        <v>45037</v>
      </c>
      <c r="C825" t="s">
        <v>66</v>
      </c>
      <c r="D825" t="s">
        <v>44</v>
      </c>
      <c r="E825" s="4">
        <v>2</v>
      </c>
      <c r="F825" s="4">
        <v>10000</v>
      </c>
      <c r="G825" s="4">
        <v>20000</v>
      </c>
      <c r="H825" t="s">
        <v>17</v>
      </c>
      <c r="I825" t="s">
        <v>62</v>
      </c>
      <c r="J825" t="s">
        <v>62</v>
      </c>
    </row>
    <row r="826" spans="1:10" x14ac:dyDescent="0.25">
      <c r="A826" t="s">
        <v>864</v>
      </c>
      <c r="B826" s="1">
        <v>45259</v>
      </c>
      <c r="C826" t="s">
        <v>68</v>
      </c>
      <c r="D826" t="s">
        <v>24</v>
      </c>
      <c r="E826" s="4">
        <v>4</v>
      </c>
      <c r="F826" s="4">
        <v>20000</v>
      </c>
      <c r="G826" s="4">
        <v>80000</v>
      </c>
      <c r="H826" t="s">
        <v>21</v>
      </c>
      <c r="I826" t="s">
        <v>18</v>
      </c>
      <c r="J826" t="s">
        <v>18</v>
      </c>
    </row>
    <row r="827" spans="1:10" x14ac:dyDescent="0.25">
      <c r="A827" t="s">
        <v>865</v>
      </c>
      <c r="B827" s="1">
        <v>45017</v>
      </c>
      <c r="C827" t="s">
        <v>35</v>
      </c>
      <c r="D827" t="s">
        <v>33</v>
      </c>
      <c r="E827" s="4">
        <v>5</v>
      </c>
      <c r="F827" s="4">
        <v>10000</v>
      </c>
      <c r="G827" s="4">
        <v>50000</v>
      </c>
      <c r="H827" t="s">
        <v>36</v>
      </c>
      <c r="I827" t="s">
        <v>25</v>
      </c>
      <c r="J827" t="s">
        <v>25</v>
      </c>
    </row>
    <row r="828" spans="1:10" x14ac:dyDescent="0.25">
      <c r="A828" t="s">
        <v>866</v>
      </c>
      <c r="B828" s="1">
        <v>44977</v>
      </c>
      <c r="C828" t="s">
        <v>68</v>
      </c>
      <c r="D828" t="s">
        <v>12</v>
      </c>
      <c r="E828" s="4">
        <v>1</v>
      </c>
      <c r="F828" s="4">
        <v>5000</v>
      </c>
      <c r="G828" s="4">
        <v>5000</v>
      </c>
      <c r="H828" t="s">
        <v>17</v>
      </c>
      <c r="I828" t="s">
        <v>18</v>
      </c>
      <c r="J828" t="s">
        <v>18</v>
      </c>
    </row>
    <row r="829" spans="1:10" x14ac:dyDescent="0.25">
      <c r="A829" t="s">
        <v>867</v>
      </c>
      <c r="B829" s="1">
        <v>45184</v>
      </c>
      <c r="C829" t="s">
        <v>16</v>
      </c>
      <c r="D829" t="s">
        <v>50</v>
      </c>
      <c r="E829" s="4">
        <v>1</v>
      </c>
      <c r="F829" s="4">
        <v>10000</v>
      </c>
      <c r="G829" s="4">
        <v>10000</v>
      </c>
      <c r="H829" t="s">
        <v>36</v>
      </c>
      <c r="I829" t="s">
        <v>14</v>
      </c>
      <c r="J829" t="s">
        <v>14</v>
      </c>
    </row>
    <row r="830" spans="1:10" x14ac:dyDescent="0.25">
      <c r="A830" t="s">
        <v>868</v>
      </c>
      <c r="B830" s="1">
        <v>45106</v>
      </c>
      <c r="C830" t="s">
        <v>66</v>
      </c>
      <c r="D830" t="s">
        <v>24</v>
      </c>
      <c r="E830" s="4">
        <v>4</v>
      </c>
      <c r="F830" s="4">
        <v>12500</v>
      </c>
      <c r="G830" s="4">
        <v>50000</v>
      </c>
      <c r="H830" t="s">
        <v>36</v>
      </c>
      <c r="I830" t="s">
        <v>27</v>
      </c>
      <c r="J830" t="s">
        <v>27</v>
      </c>
    </row>
    <row r="831" spans="1:10" x14ac:dyDescent="0.25">
      <c r="A831" t="s">
        <v>869</v>
      </c>
      <c r="B831" s="1">
        <v>45139</v>
      </c>
      <c r="C831" t="s">
        <v>11</v>
      </c>
      <c r="D831" t="s">
        <v>30</v>
      </c>
      <c r="E831" s="4">
        <v>1</v>
      </c>
      <c r="F831" s="4">
        <v>20000</v>
      </c>
      <c r="G831" s="4">
        <v>20000</v>
      </c>
      <c r="H831" t="s">
        <v>17</v>
      </c>
      <c r="I831" t="s">
        <v>27</v>
      </c>
      <c r="J831" t="s">
        <v>27</v>
      </c>
    </row>
    <row r="832" spans="1:10" x14ac:dyDescent="0.25">
      <c r="A832" t="s">
        <v>870</v>
      </c>
      <c r="B832" s="1">
        <v>45014</v>
      </c>
      <c r="C832" t="s">
        <v>75</v>
      </c>
      <c r="D832" t="s">
        <v>50</v>
      </c>
      <c r="E832" s="4">
        <v>4</v>
      </c>
      <c r="F832" s="4">
        <v>10000</v>
      </c>
      <c r="G832" s="4">
        <v>40000</v>
      </c>
      <c r="H832" t="s">
        <v>36</v>
      </c>
      <c r="I832" t="s">
        <v>14</v>
      </c>
      <c r="J832" t="s">
        <v>14</v>
      </c>
    </row>
    <row r="833" spans="1:10" x14ac:dyDescent="0.25">
      <c r="A833" t="s">
        <v>871</v>
      </c>
      <c r="B833" s="1">
        <v>45252</v>
      </c>
      <c r="C833" t="s">
        <v>11</v>
      </c>
      <c r="D833" t="s">
        <v>38</v>
      </c>
      <c r="E833" s="4">
        <v>3</v>
      </c>
      <c r="F833" s="4">
        <v>10000</v>
      </c>
      <c r="G833" s="4">
        <v>30000</v>
      </c>
      <c r="H833" t="s">
        <v>21</v>
      </c>
      <c r="I833" t="s">
        <v>18</v>
      </c>
      <c r="J833" t="s">
        <v>18</v>
      </c>
    </row>
    <row r="834" spans="1:10" x14ac:dyDescent="0.25">
      <c r="A834" t="s">
        <v>872</v>
      </c>
      <c r="B834" s="1">
        <v>45127</v>
      </c>
      <c r="C834" t="s">
        <v>23</v>
      </c>
      <c r="D834" t="s">
        <v>60</v>
      </c>
      <c r="E834" s="4">
        <v>5</v>
      </c>
      <c r="F834" s="4">
        <v>10000</v>
      </c>
      <c r="G834" s="4">
        <v>50000</v>
      </c>
      <c r="H834" t="s">
        <v>13</v>
      </c>
      <c r="I834" t="s">
        <v>27</v>
      </c>
      <c r="J834" t="s">
        <v>27</v>
      </c>
    </row>
    <row r="835" spans="1:10" x14ac:dyDescent="0.25">
      <c r="A835" t="s">
        <v>873</v>
      </c>
      <c r="B835" s="1">
        <v>44967</v>
      </c>
      <c r="C835" t="s">
        <v>29</v>
      </c>
      <c r="D835" t="s">
        <v>50</v>
      </c>
      <c r="E835" s="4">
        <v>4</v>
      </c>
      <c r="F835" s="4">
        <v>5000</v>
      </c>
      <c r="G835" s="4">
        <v>20000</v>
      </c>
      <c r="H835" t="s">
        <v>13</v>
      </c>
      <c r="I835" t="s">
        <v>25</v>
      </c>
      <c r="J835" t="s">
        <v>25</v>
      </c>
    </row>
    <row r="836" spans="1:10" x14ac:dyDescent="0.25">
      <c r="A836" t="s">
        <v>874</v>
      </c>
      <c r="B836" s="1">
        <v>45201</v>
      </c>
      <c r="C836" t="s">
        <v>35</v>
      </c>
      <c r="D836" t="s">
        <v>30</v>
      </c>
      <c r="E836" s="4">
        <v>3</v>
      </c>
      <c r="F836" s="4">
        <v>12500</v>
      </c>
      <c r="G836" s="4">
        <v>37500</v>
      </c>
      <c r="H836" t="s">
        <v>21</v>
      </c>
      <c r="I836" t="s">
        <v>27</v>
      </c>
      <c r="J836" t="s">
        <v>27</v>
      </c>
    </row>
    <row r="837" spans="1:10" x14ac:dyDescent="0.25">
      <c r="A837" t="s">
        <v>875</v>
      </c>
      <c r="B837" s="1">
        <v>44983</v>
      </c>
      <c r="C837" t="s">
        <v>35</v>
      </c>
      <c r="D837" t="s">
        <v>24</v>
      </c>
      <c r="E837" s="4">
        <v>5</v>
      </c>
      <c r="F837" s="4">
        <v>5000</v>
      </c>
      <c r="G837" s="4">
        <v>25000</v>
      </c>
      <c r="H837" t="s">
        <v>13</v>
      </c>
      <c r="I837" t="s">
        <v>62</v>
      </c>
      <c r="J837" t="s">
        <v>62</v>
      </c>
    </row>
    <row r="838" spans="1:10" x14ac:dyDescent="0.25">
      <c r="A838" t="s">
        <v>876</v>
      </c>
      <c r="B838" s="1">
        <v>45127</v>
      </c>
      <c r="C838" t="s">
        <v>55</v>
      </c>
      <c r="D838" t="s">
        <v>12</v>
      </c>
      <c r="E838" s="4">
        <v>4</v>
      </c>
      <c r="F838" s="4">
        <v>12500</v>
      </c>
      <c r="G838" s="4">
        <v>50000</v>
      </c>
      <c r="H838" t="s">
        <v>36</v>
      </c>
      <c r="I838" t="s">
        <v>27</v>
      </c>
      <c r="J838" t="s">
        <v>27</v>
      </c>
    </row>
    <row r="839" spans="1:10" x14ac:dyDescent="0.25">
      <c r="A839" t="s">
        <v>877</v>
      </c>
      <c r="B839" s="1">
        <v>45157</v>
      </c>
      <c r="C839" t="s">
        <v>29</v>
      </c>
      <c r="D839" t="s">
        <v>20</v>
      </c>
      <c r="E839" s="4">
        <v>2</v>
      </c>
      <c r="F839" s="4">
        <v>15000</v>
      </c>
      <c r="G839" s="4">
        <v>30000</v>
      </c>
      <c r="H839" t="s">
        <v>13</v>
      </c>
      <c r="I839" t="s">
        <v>18</v>
      </c>
      <c r="J839" t="s">
        <v>18</v>
      </c>
    </row>
    <row r="840" spans="1:10" x14ac:dyDescent="0.25">
      <c r="A840" t="s">
        <v>878</v>
      </c>
      <c r="B840" s="1">
        <v>45206</v>
      </c>
      <c r="C840" t="s">
        <v>16</v>
      </c>
      <c r="D840" t="s">
        <v>48</v>
      </c>
      <c r="E840" s="4">
        <v>2</v>
      </c>
      <c r="F840" s="4">
        <v>15000</v>
      </c>
      <c r="G840" s="4">
        <v>30000</v>
      </c>
      <c r="H840" t="s">
        <v>21</v>
      </c>
      <c r="I840" t="s">
        <v>27</v>
      </c>
      <c r="J840" t="s">
        <v>27</v>
      </c>
    </row>
    <row r="841" spans="1:10" x14ac:dyDescent="0.25">
      <c r="A841" t="s">
        <v>879</v>
      </c>
      <c r="B841" s="1">
        <v>45113</v>
      </c>
      <c r="C841" t="s">
        <v>23</v>
      </c>
      <c r="D841" t="s">
        <v>12</v>
      </c>
      <c r="E841" s="4">
        <v>2</v>
      </c>
      <c r="F841" s="4">
        <v>5000</v>
      </c>
      <c r="G841" s="4">
        <v>10000</v>
      </c>
      <c r="H841" t="s">
        <v>13</v>
      </c>
      <c r="I841" t="s">
        <v>14</v>
      </c>
      <c r="J841" t="s">
        <v>14</v>
      </c>
    </row>
    <row r="842" spans="1:10" x14ac:dyDescent="0.25">
      <c r="A842" t="s">
        <v>880</v>
      </c>
      <c r="B842" s="1">
        <v>45105</v>
      </c>
      <c r="C842" t="s">
        <v>42</v>
      </c>
      <c r="D842" t="s">
        <v>33</v>
      </c>
      <c r="E842" s="4">
        <v>3</v>
      </c>
      <c r="F842" s="4">
        <v>15000</v>
      </c>
      <c r="G842" s="4">
        <v>45000</v>
      </c>
      <c r="H842" t="s">
        <v>36</v>
      </c>
      <c r="I842" t="s">
        <v>25</v>
      </c>
      <c r="J842" t="s">
        <v>25</v>
      </c>
    </row>
    <row r="843" spans="1:10" x14ac:dyDescent="0.25">
      <c r="A843" t="s">
        <v>881</v>
      </c>
      <c r="B843" s="1">
        <v>45070</v>
      </c>
      <c r="C843" t="s">
        <v>16</v>
      </c>
      <c r="D843" t="s">
        <v>38</v>
      </c>
      <c r="E843" s="4">
        <v>1</v>
      </c>
      <c r="F843" s="4">
        <v>15000</v>
      </c>
      <c r="G843" s="4">
        <v>15000</v>
      </c>
      <c r="H843" t="s">
        <v>21</v>
      </c>
      <c r="I843" t="s">
        <v>14</v>
      </c>
      <c r="J843" t="s">
        <v>14</v>
      </c>
    </row>
    <row r="844" spans="1:10" x14ac:dyDescent="0.25">
      <c r="A844" t="s">
        <v>882</v>
      </c>
      <c r="B844" s="1">
        <v>45090</v>
      </c>
      <c r="C844" t="s">
        <v>75</v>
      </c>
      <c r="D844" t="s">
        <v>50</v>
      </c>
      <c r="E844" s="4">
        <v>1</v>
      </c>
      <c r="F844" s="4">
        <v>15000</v>
      </c>
      <c r="G844" s="4">
        <v>15000</v>
      </c>
      <c r="H844" t="s">
        <v>36</v>
      </c>
      <c r="I844" t="s">
        <v>14</v>
      </c>
      <c r="J844" t="s">
        <v>14</v>
      </c>
    </row>
    <row r="845" spans="1:10" x14ac:dyDescent="0.25">
      <c r="A845" t="s">
        <v>883</v>
      </c>
      <c r="B845" s="1">
        <v>45188</v>
      </c>
      <c r="C845" t="s">
        <v>32</v>
      </c>
      <c r="D845" t="s">
        <v>60</v>
      </c>
      <c r="E845" s="4">
        <v>5</v>
      </c>
      <c r="F845" s="4">
        <v>20000</v>
      </c>
      <c r="G845" s="4">
        <v>100000</v>
      </c>
      <c r="H845" t="s">
        <v>21</v>
      </c>
      <c r="I845" t="s">
        <v>25</v>
      </c>
      <c r="J845" t="s">
        <v>25</v>
      </c>
    </row>
    <row r="846" spans="1:10" x14ac:dyDescent="0.25">
      <c r="A846" t="s">
        <v>884</v>
      </c>
      <c r="B846" s="1">
        <v>45037</v>
      </c>
      <c r="C846" t="s">
        <v>66</v>
      </c>
      <c r="D846" t="s">
        <v>44</v>
      </c>
      <c r="E846" s="4">
        <v>3</v>
      </c>
      <c r="F846" s="4">
        <v>10000</v>
      </c>
      <c r="G846" s="4">
        <v>30000</v>
      </c>
      <c r="H846" t="s">
        <v>17</v>
      </c>
      <c r="I846" t="s">
        <v>27</v>
      </c>
      <c r="J846" t="s">
        <v>27</v>
      </c>
    </row>
    <row r="847" spans="1:10" x14ac:dyDescent="0.25">
      <c r="A847" t="s">
        <v>885</v>
      </c>
      <c r="B847" s="1">
        <v>45046</v>
      </c>
      <c r="C847" t="s">
        <v>16</v>
      </c>
      <c r="D847" t="s">
        <v>33</v>
      </c>
      <c r="E847" s="4">
        <v>1</v>
      </c>
      <c r="F847" s="4">
        <v>20000</v>
      </c>
      <c r="G847" s="4">
        <v>20000</v>
      </c>
      <c r="H847" t="s">
        <v>13</v>
      </c>
      <c r="I847" t="s">
        <v>18</v>
      </c>
      <c r="J847" t="s">
        <v>18</v>
      </c>
    </row>
    <row r="848" spans="1:10" x14ac:dyDescent="0.25">
      <c r="A848" t="s">
        <v>886</v>
      </c>
      <c r="B848" s="1">
        <v>44965</v>
      </c>
      <c r="C848" t="s">
        <v>66</v>
      </c>
      <c r="D848" t="s">
        <v>50</v>
      </c>
      <c r="E848" s="4">
        <v>3</v>
      </c>
      <c r="F848" s="4">
        <v>20000</v>
      </c>
      <c r="G848" s="4">
        <v>60000</v>
      </c>
      <c r="H848" t="s">
        <v>36</v>
      </c>
      <c r="I848" t="s">
        <v>62</v>
      </c>
      <c r="J848" t="s">
        <v>62</v>
      </c>
    </row>
    <row r="849" spans="1:10" x14ac:dyDescent="0.25">
      <c r="A849" t="s">
        <v>887</v>
      </c>
      <c r="B849" s="1">
        <v>44990</v>
      </c>
      <c r="C849" t="s">
        <v>75</v>
      </c>
      <c r="D849" t="s">
        <v>24</v>
      </c>
      <c r="E849" s="4">
        <v>2</v>
      </c>
      <c r="F849" s="4">
        <v>15000</v>
      </c>
      <c r="G849" s="4">
        <v>30000</v>
      </c>
      <c r="H849" t="s">
        <v>36</v>
      </c>
      <c r="I849" t="s">
        <v>14</v>
      </c>
      <c r="J849" t="s">
        <v>14</v>
      </c>
    </row>
    <row r="850" spans="1:10" x14ac:dyDescent="0.25">
      <c r="A850" t="s">
        <v>888</v>
      </c>
      <c r="B850" s="1">
        <v>45133</v>
      </c>
      <c r="C850" t="s">
        <v>23</v>
      </c>
      <c r="D850" t="s">
        <v>48</v>
      </c>
      <c r="E850" s="4">
        <v>5</v>
      </c>
      <c r="F850" s="4">
        <v>15000</v>
      </c>
      <c r="G850" s="4">
        <v>75000</v>
      </c>
      <c r="H850" t="s">
        <v>21</v>
      </c>
      <c r="I850" t="s">
        <v>27</v>
      </c>
      <c r="J850" t="s">
        <v>27</v>
      </c>
    </row>
    <row r="851" spans="1:10" x14ac:dyDescent="0.25">
      <c r="A851" t="s">
        <v>889</v>
      </c>
      <c r="B851" s="1">
        <v>45104</v>
      </c>
      <c r="C851" t="s">
        <v>32</v>
      </c>
      <c r="D851" t="s">
        <v>38</v>
      </c>
      <c r="E851" s="4">
        <v>1</v>
      </c>
      <c r="F851" s="4">
        <v>15000</v>
      </c>
      <c r="G851" s="4">
        <v>15000</v>
      </c>
      <c r="H851" t="s">
        <v>36</v>
      </c>
      <c r="I851" t="s">
        <v>18</v>
      </c>
      <c r="J851" t="s">
        <v>18</v>
      </c>
    </row>
    <row r="852" spans="1:10" x14ac:dyDescent="0.25">
      <c r="A852" t="s">
        <v>890</v>
      </c>
      <c r="B852" s="1">
        <v>44989</v>
      </c>
      <c r="C852" t="s">
        <v>32</v>
      </c>
      <c r="D852" t="s">
        <v>44</v>
      </c>
      <c r="E852" s="4">
        <v>5</v>
      </c>
      <c r="F852" s="4">
        <v>5000</v>
      </c>
      <c r="G852" s="4">
        <v>25000</v>
      </c>
      <c r="H852" t="s">
        <v>13</v>
      </c>
      <c r="I852" t="s">
        <v>27</v>
      </c>
      <c r="J852" t="s">
        <v>27</v>
      </c>
    </row>
    <row r="853" spans="1:10" x14ac:dyDescent="0.25">
      <c r="A853" t="s">
        <v>891</v>
      </c>
      <c r="B853" s="1">
        <v>44972</v>
      </c>
      <c r="C853" t="s">
        <v>35</v>
      </c>
      <c r="D853" t="s">
        <v>30</v>
      </c>
      <c r="E853" s="4">
        <v>3</v>
      </c>
      <c r="F853" s="4">
        <v>12500</v>
      </c>
      <c r="G853" s="4">
        <v>37500</v>
      </c>
      <c r="H853" t="s">
        <v>17</v>
      </c>
      <c r="I853" t="s">
        <v>27</v>
      </c>
      <c r="J853" t="s">
        <v>27</v>
      </c>
    </row>
    <row r="854" spans="1:10" x14ac:dyDescent="0.25">
      <c r="A854" t="s">
        <v>892</v>
      </c>
      <c r="B854" s="1">
        <v>45240</v>
      </c>
      <c r="C854" t="s">
        <v>55</v>
      </c>
      <c r="D854" t="s">
        <v>38</v>
      </c>
      <c r="E854" s="4">
        <v>3</v>
      </c>
      <c r="F854" s="4">
        <v>10000</v>
      </c>
      <c r="G854" s="4">
        <v>30000</v>
      </c>
      <c r="H854" t="s">
        <v>13</v>
      </c>
      <c r="I854" t="s">
        <v>18</v>
      </c>
      <c r="J854" t="s">
        <v>18</v>
      </c>
    </row>
    <row r="855" spans="1:10" x14ac:dyDescent="0.25">
      <c r="A855" t="s">
        <v>893</v>
      </c>
      <c r="B855" s="1">
        <v>45138</v>
      </c>
      <c r="C855" t="s">
        <v>55</v>
      </c>
      <c r="D855" t="s">
        <v>24</v>
      </c>
      <c r="E855" s="4">
        <v>3</v>
      </c>
      <c r="F855" s="4">
        <v>5000</v>
      </c>
      <c r="G855" s="4">
        <v>15000</v>
      </c>
      <c r="H855" t="s">
        <v>13</v>
      </c>
      <c r="I855" t="s">
        <v>18</v>
      </c>
      <c r="J855" t="s">
        <v>18</v>
      </c>
    </row>
    <row r="856" spans="1:10" x14ac:dyDescent="0.25">
      <c r="A856" t="s">
        <v>894</v>
      </c>
      <c r="B856" s="1">
        <v>45062</v>
      </c>
      <c r="C856" t="s">
        <v>23</v>
      </c>
      <c r="D856" t="s">
        <v>60</v>
      </c>
      <c r="E856" s="4">
        <v>3</v>
      </c>
      <c r="F856" s="4">
        <v>5000</v>
      </c>
      <c r="G856" s="4">
        <v>15000</v>
      </c>
      <c r="H856" t="s">
        <v>13</v>
      </c>
      <c r="I856" t="s">
        <v>14</v>
      </c>
      <c r="J856" t="s">
        <v>14</v>
      </c>
    </row>
    <row r="857" spans="1:10" x14ac:dyDescent="0.25">
      <c r="A857" t="s">
        <v>895</v>
      </c>
      <c r="B857" s="1">
        <v>45124</v>
      </c>
      <c r="C857" t="s">
        <v>42</v>
      </c>
      <c r="D857" t="s">
        <v>30</v>
      </c>
      <c r="E857" s="4">
        <v>4</v>
      </c>
      <c r="F857" s="4">
        <v>5000</v>
      </c>
      <c r="G857" s="4">
        <v>20000</v>
      </c>
      <c r="H857" t="s">
        <v>13</v>
      </c>
      <c r="I857" t="s">
        <v>18</v>
      </c>
      <c r="J857" t="s">
        <v>18</v>
      </c>
    </row>
    <row r="858" spans="1:10" x14ac:dyDescent="0.25">
      <c r="A858" t="s">
        <v>896</v>
      </c>
      <c r="B858" s="1">
        <v>45185</v>
      </c>
      <c r="C858" t="s">
        <v>75</v>
      </c>
      <c r="D858" t="s">
        <v>12</v>
      </c>
      <c r="E858" s="4">
        <v>2</v>
      </c>
      <c r="F858" s="4">
        <v>10000</v>
      </c>
      <c r="G858" s="4">
        <v>20000</v>
      </c>
      <c r="H858" t="s">
        <v>36</v>
      </c>
      <c r="I858" t="s">
        <v>25</v>
      </c>
      <c r="J858" t="s">
        <v>25</v>
      </c>
    </row>
    <row r="859" spans="1:10" x14ac:dyDescent="0.25">
      <c r="A859" t="s">
        <v>897</v>
      </c>
      <c r="B859" s="1">
        <v>45084</v>
      </c>
      <c r="C859" t="s">
        <v>23</v>
      </c>
      <c r="D859" t="s">
        <v>24</v>
      </c>
      <c r="E859" s="4">
        <v>3</v>
      </c>
      <c r="F859" s="4">
        <v>5000</v>
      </c>
      <c r="G859" s="4">
        <v>15000</v>
      </c>
      <c r="H859" t="s">
        <v>36</v>
      </c>
      <c r="I859" t="s">
        <v>27</v>
      </c>
      <c r="J859" t="s">
        <v>27</v>
      </c>
    </row>
    <row r="860" spans="1:10" x14ac:dyDescent="0.25">
      <c r="A860" t="s">
        <v>898</v>
      </c>
      <c r="B860" s="1">
        <v>45158</v>
      </c>
      <c r="C860" t="s">
        <v>68</v>
      </c>
      <c r="D860" t="s">
        <v>44</v>
      </c>
      <c r="E860" s="4">
        <v>3</v>
      </c>
      <c r="F860" s="4">
        <v>5000</v>
      </c>
      <c r="G860" s="4">
        <v>15000</v>
      </c>
      <c r="H860" t="s">
        <v>17</v>
      </c>
      <c r="I860" t="s">
        <v>62</v>
      </c>
      <c r="J860" t="s">
        <v>62</v>
      </c>
    </row>
    <row r="861" spans="1:10" x14ac:dyDescent="0.25">
      <c r="A861" t="s">
        <v>899</v>
      </c>
      <c r="B861" s="1">
        <v>45116</v>
      </c>
      <c r="C861" t="s">
        <v>35</v>
      </c>
      <c r="D861" t="s">
        <v>24</v>
      </c>
      <c r="E861" s="4">
        <v>1</v>
      </c>
      <c r="F861" s="4">
        <v>10000</v>
      </c>
      <c r="G861" s="4">
        <v>10000</v>
      </c>
      <c r="H861" t="s">
        <v>36</v>
      </c>
      <c r="I861" t="s">
        <v>14</v>
      </c>
      <c r="J861" t="s">
        <v>14</v>
      </c>
    </row>
    <row r="862" spans="1:10" x14ac:dyDescent="0.25">
      <c r="A862" t="s">
        <v>900</v>
      </c>
      <c r="B862" s="1">
        <v>44982</v>
      </c>
      <c r="C862" t="s">
        <v>32</v>
      </c>
      <c r="D862" t="s">
        <v>48</v>
      </c>
      <c r="E862" s="4">
        <v>3</v>
      </c>
      <c r="F862" s="4">
        <v>10000</v>
      </c>
      <c r="G862" s="4">
        <v>30000</v>
      </c>
      <c r="H862" t="s">
        <v>13</v>
      </c>
      <c r="I862" t="s">
        <v>27</v>
      </c>
      <c r="J862" t="s">
        <v>27</v>
      </c>
    </row>
    <row r="863" spans="1:10" x14ac:dyDescent="0.25">
      <c r="A863" t="s">
        <v>901</v>
      </c>
      <c r="B863" s="1">
        <v>45244</v>
      </c>
      <c r="C863" t="s">
        <v>55</v>
      </c>
      <c r="D863" t="s">
        <v>38</v>
      </c>
      <c r="E863" s="4">
        <v>4</v>
      </c>
      <c r="F863" s="4">
        <v>20000</v>
      </c>
      <c r="G863" s="4">
        <v>80000</v>
      </c>
      <c r="H863" t="s">
        <v>13</v>
      </c>
      <c r="I863" t="s">
        <v>62</v>
      </c>
      <c r="J863" t="s">
        <v>62</v>
      </c>
    </row>
    <row r="864" spans="1:10" x14ac:dyDescent="0.25">
      <c r="A864" t="s">
        <v>902</v>
      </c>
      <c r="B864" s="1">
        <v>44928</v>
      </c>
      <c r="C864" t="s">
        <v>16</v>
      </c>
      <c r="D864" t="s">
        <v>12</v>
      </c>
      <c r="E864" s="4">
        <v>2</v>
      </c>
      <c r="F864" s="4">
        <v>15000</v>
      </c>
      <c r="G864" s="4">
        <v>30000</v>
      </c>
      <c r="H864" t="s">
        <v>36</v>
      </c>
      <c r="I864" t="s">
        <v>62</v>
      </c>
      <c r="J864" t="s">
        <v>62</v>
      </c>
    </row>
    <row r="865" spans="1:10" x14ac:dyDescent="0.25">
      <c r="A865" t="s">
        <v>903</v>
      </c>
      <c r="B865" s="1">
        <v>44933</v>
      </c>
      <c r="C865" t="s">
        <v>23</v>
      </c>
      <c r="D865" t="s">
        <v>24</v>
      </c>
      <c r="E865" s="4">
        <v>4</v>
      </c>
      <c r="F865" s="4">
        <v>15000</v>
      </c>
      <c r="G865" s="4">
        <v>60000</v>
      </c>
      <c r="H865" t="s">
        <v>13</v>
      </c>
      <c r="I865" t="s">
        <v>27</v>
      </c>
      <c r="J865" t="s">
        <v>62</v>
      </c>
    </row>
    <row r="866" spans="1:10" x14ac:dyDescent="0.25">
      <c r="A866" t="s">
        <v>904</v>
      </c>
      <c r="B866" s="1">
        <v>44927</v>
      </c>
      <c r="C866" t="s">
        <v>75</v>
      </c>
      <c r="D866" t="s">
        <v>24</v>
      </c>
      <c r="E866" s="4">
        <v>2</v>
      </c>
      <c r="F866" s="4">
        <v>20000</v>
      </c>
      <c r="G866" s="4">
        <v>40000</v>
      </c>
      <c r="H866" t="s">
        <v>17</v>
      </c>
      <c r="I866" t="s">
        <v>27</v>
      </c>
      <c r="J866" t="s">
        <v>27</v>
      </c>
    </row>
    <row r="867" spans="1:10" x14ac:dyDescent="0.25">
      <c r="A867" t="s">
        <v>905</v>
      </c>
      <c r="B867" s="1">
        <v>44975</v>
      </c>
      <c r="C867" t="s">
        <v>55</v>
      </c>
      <c r="D867" t="s">
        <v>12</v>
      </c>
      <c r="E867" s="4">
        <v>3</v>
      </c>
      <c r="F867" s="4">
        <v>12500</v>
      </c>
      <c r="G867" s="4">
        <v>37500</v>
      </c>
      <c r="H867" t="s">
        <v>21</v>
      </c>
      <c r="I867" t="s">
        <v>25</v>
      </c>
      <c r="J867" t="s">
        <v>25</v>
      </c>
    </row>
    <row r="868" spans="1:10" x14ac:dyDescent="0.25">
      <c r="A868" t="s">
        <v>906</v>
      </c>
      <c r="B868" s="1">
        <v>44933</v>
      </c>
      <c r="C868" t="s">
        <v>35</v>
      </c>
      <c r="D868" t="s">
        <v>44</v>
      </c>
      <c r="E868" s="4">
        <v>3</v>
      </c>
      <c r="F868" s="4">
        <v>10000</v>
      </c>
      <c r="G868" s="4">
        <v>30000</v>
      </c>
      <c r="H868" t="s">
        <v>36</v>
      </c>
      <c r="I868" t="s">
        <v>27</v>
      </c>
      <c r="J868" t="s">
        <v>27</v>
      </c>
    </row>
    <row r="869" spans="1:10" x14ac:dyDescent="0.25">
      <c r="A869" t="s">
        <v>907</v>
      </c>
      <c r="B869" s="1">
        <v>45264</v>
      </c>
      <c r="C869" t="s">
        <v>68</v>
      </c>
      <c r="D869" t="s">
        <v>20</v>
      </c>
      <c r="E869" s="4">
        <v>3</v>
      </c>
      <c r="F869" s="4">
        <v>20000</v>
      </c>
      <c r="G869" s="4">
        <v>60000</v>
      </c>
      <c r="H869" t="s">
        <v>13</v>
      </c>
      <c r="I869" t="s">
        <v>18</v>
      </c>
      <c r="J869" t="s">
        <v>18</v>
      </c>
    </row>
    <row r="870" spans="1:10" x14ac:dyDescent="0.25">
      <c r="A870" t="s">
        <v>908</v>
      </c>
      <c r="B870" s="1">
        <v>45116</v>
      </c>
      <c r="C870" t="s">
        <v>66</v>
      </c>
      <c r="D870" t="s">
        <v>33</v>
      </c>
      <c r="E870" s="4">
        <v>4</v>
      </c>
      <c r="F870" s="4">
        <v>15000</v>
      </c>
      <c r="G870" s="4">
        <v>60000</v>
      </c>
      <c r="H870" t="s">
        <v>21</v>
      </c>
      <c r="I870" t="s">
        <v>62</v>
      </c>
      <c r="J870" t="s">
        <v>62</v>
      </c>
    </row>
    <row r="871" spans="1:10" x14ac:dyDescent="0.25">
      <c r="A871" t="s">
        <v>909</v>
      </c>
      <c r="B871" s="1">
        <v>45193</v>
      </c>
      <c r="C871" t="s">
        <v>66</v>
      </c>
      <c r="D871" t="s">
        <v>44</v>
      </c>
      <c r="E871" s="4">
        <v>5</v>
      </c>
      <c r="F871" s="4">
        <v>5000</v>
      </c>
      <c r="G871" s="4">
        <v>25000</v>
      </c>
      <c r="H871" t="s">
        <v>36</v>
      </c>
      <c r="I871" t="s">
        <v>18</v>
      </c>
      <c r="J871" t="s">
        <v>18</v>
      </c>
    </row>
    <row r="872" spans="1:10" x14ac:dyDescent="0.25">
      <c r="A872" t="s">
        <v>910</v>
      </c>
      <c r="B872" s="1">
        <v>45003</v>
      </c>
      <c r="C872" t="s">
        <v>55</v>
      </c>
      <c r="D872" t="s">
        <v>33</v>
      </c>
      <c r="E872" s="4">
        <v>3</v>
      </c>
      <c r="F872" s="4">
        <v>15000</v>
      </c>
      <c r="G872" s="4">
        <v>45000</v>
      </c>
      <c r="H872" t="s">
        <v>13</v>
      </c>
      <c r="I872" t="s">
        <v>27</v>
      </c>
      <c r="J872" t="s">
        <v>62</v>
      </c>
    </row>
    <row r="873" spans="1:10" x14ac:dyDescent="0.25">
      <c r="A873" t="s">
        <v>911</v>
      </c>
      <c r="B873" s="1">
        <v>45230</v>
      </c>
      <c r="C873" t="s">
        <v>66</v>
      </c>
      <c r="D873" t="s">
        <v>12</v>
      </c>
      <c r="E873" s="4">
        <v>1</v>
      </c>
      <c r="F873" s="4">
        <v>20000</v>
      </c>
      <c r="G873" s="4">
        <v>20000</v>
      </c>
      <c r="H873" t="s">
        <v>17</v>
      </c>
      <c r="I873" t="s">
        <v>25</v>
      </c>
      <c r="J873" t="s">
        <v>25</v>
      </c>
    </row>
    <row r="874" spans="1:10" x14ac:dyDescent="0.25">
      <c r="A874" t="s">
        <v>912</v>
      </c>
      <c r="B874" s="1">
        <v>45184</v>
      </c>
      <c r="C874" t="s">
        <v>16</v>
      </c>
      <c r="D874" t="s">
        <v>33</v>
      </c>
      <c r="E874" s="4">
        <v>2</v>
      </c>
      <c r="F874" s="4">
        <v>5000</v>
      </c>
      <c r="G874" s="4">
        <v>10000</v>
      </c>
      <c r="H874" t="s">
        <v>21</v>
      </c>
      <c r="I874" t="s">
        <v>14</v>
      </c>
      <c r="J874" t="s">
        <v>14</v>
      </c>
    </row>
    <row r="875" spans="1:10" x14ac:dyDescent="0.25">
      <c r="A875" t="s">
        <v>913</v>
      </c>
      <c r="B875" s="1">
        <v>45054</v>
      </c>
      <c r="C875" t="s">
        <v>75</v>
      </c>
      <c r="D875" t="s">
        <v>38</v>
      </c>
      <c r="E875" s="4">
        <v>4</v>
      </c>
      <c r="F875" s="4">
        <v>20000</v>
      </c>
      <c r="G875" s="4">
        <v>80000</v>
      </c>
      <c r="H875" t="s">
        <v>21</v>
      </c>
      <c r="I875" t="s">
        <v>62</v>
      </c>
      <c r="J875" t="s">
        <v>62</v>
      </c>
    </row>
    <row r="876" spans="1:10" x14ac:dyDescent="0.25">
      <c r="A876" t="s">
        <v>914</v>
      </c>
      <c r="B876" s="1">
        <v>45276</v>
      </c>
      <c r="C876" t="s">
        <v>35</v>
      </c>
      <c r="D876" t="s">
        <v>30</v>
      </c>
      <c r="E876" s="4">
        <v>3</v>
      </c>
      <c r="F876" s="4">
        <v>10000</v>
      </c>
      <c r="G876" s="4">
        <v>30000</v>
      </c>
      <c r="H876" t="s">
        <v>13</v>
      </c>
      <c r="I876" t="s">
        <v>62</v>
      </c>
      <c r="J876" t="s">
        <v>62</v>
      </c>
    </row>
    <row r="877" spans="1:10" x14ac:dyDescent="0.25">
      <c r="A877" t="s">
        <v>915</v>
      </c>
      <c r="B877" s="1">
        <v>45150</v>
      </c>
      <c r="C877" t="s">
        <v>29</v>
      </c>
      <c r="D877" t="s">
        <v>12</v>
      </c>
      <c r="E877" s="4">
        <v>2</v>
      </c>
      <c r="F877" s="4">
        <v>15000</v>
      </c>
      <c r="G877" s="4">
        <v>30000</v>
      </c>
      <c r="H877" t="s">
        <v>21</v>
      </c>
      <c r="I877" t="s">
        <v>18</v>
      </c>
      <c r="J877" t="s">
        <v>18</v>
      </c>
    </row>
    <row r="878" spans="1:10" x14ac:dyDescent="0.25">
      <c r="A878" t="s">
        <v>916</v>
      </c>
      <c r="B878" s="1">
        <v>44941</v>
      </c>
      <c r="C878" t="s">
        <v>75</v>
      </c>
      <c r="D878" t="s">
        <v>33</v>
      </c>
      <c r="E878" s="4">
        <v>1</v>
      </c>
      <c r="F878" s="4">
        <v>12500</v>
      </c>
      <c r="G878" s="4">
        <v>12500</v>
      </c>
      <c r="H878" t="s">
        <v>17</v>
      </c>
      <c r="I878" t="s">
        <v>14</v>
      </c>
      <c r="J878" t="s">
        <v>14</v>
      </c>
    </row>
    <row r="879" spans="1:10" x14ac:dyDescent="0.25">
      <c r="A879" t="s">
        <v>917</v>
      </c>
      <c r="B879" s="1">
        <v>45116</v>
      </c>
      <c r="C879" t="s">
        <v>29</v>
      </c>
      <c r="D879" t="s">
        <v>60</v>
      </c>
      <c r="E879" s="4">
        <v>1</v>
      </c>
      <c r="F879" s="4">
        <v>12500</v>
      </c>
      <c r="G879" s="4">
        <v>12500</v>
      </c>
      <c r="H879" t="s">
        <v>13</v>
      </c>
      <c r="I879" t="s">
        <v>25</v>
      </c>
      <c r="J879" t="s">
        <v>25</v>
      </c>
    </row>
    <row r="880" spans="1:10" x14ac:dyDescent="0.25">
      <c r="A880" t="s">
        <v>918</v>
      </c>
      <c r="B880" s="1">
        <v>44955</v>
      </c>
      <c r="C880" t="s">
        <v>75</v>
      </c>
      <c r="D880" t="s">
        <v>60</v>
      </c>
      <c r="E880" s="4">
        <v>3</v>
      </c>
      <c r="F880" s="4">
        <v>5000</v>
      </c>
      <c r="G880" s="4">
        <v>15000</v>
      </c>
      <c r="H880" t="s">
        <v>17</v>
      </c>
      <c r="I880" t="s">
        <v>62</v>
      </c>
      <c r="J880" t="s">
        <v>62</v>
      </c>
    </row>
    <row r="881" spans="1:10" x14ac:dyDescent="0.25">
      <c r="A881" t="s">
        <v>919</v>
      </c>
      <c r="B881" s="1">
        <v>44954</v>
      </c>
      <c r="C881" t="s">
        <v>16</v>
      </c>
      <c r="D881" t="s">
        <v>24</v>
      </c>
      <c r="E881" s="4">
        <v>5</v>
      </c>
      <c r="F881" s="4">
        <v>10000</v>
      </c>
      <c r="G881" s="4">
        <v>50000</v>
      </c>
      <c r="H881" t="s">
        <v>36</v>
      </c>
      <c r="I881" t="s">
        <v>14</v>
      </c>
      <c r="J881" t="s">
        <v>14</v>
      </c>
    </row>
    <row r="882" spans="1:10" x14ac:dyDescent="0.25">
      <c r="A882" t="s">
        <v>920</v>
      </c>
      <c r="B882" s="1">
        <v>44930</v>
      </c>
      <c r="C882" t="s">
        <v>32</v>
      </c>
      <c r="D882" t="s">
        <v>24</v>
      </c>
      <c r="E882" s="4">
        <v>5</v>
      </c>
      <c r="F882" s="4">
        <v>10000</v>
      </c>
      <c r="G882" s="4">
        <v>50000</v>
      </c>
      <c r="H882" t="s">
        <v>17</v>
      </c>
      <c r="I882" t="s">
        <v>27</v>
      </c>
      <c r="J882" t="s">
        <v>27</v>
      </c>
    </row>
    <row r="883" spans="1:10" x14ac:dyDescent="0.25">
      <c r="A883" t="s">
        <v>921</v>
      </c>
      <c r="B883" s="1">
        <v>44939</v>
      </c>
      <c r="C883" t="s">
        <v>68</v>
      </c>
      <c r="D883" t="s">
        <v>33</v>
      </c>
      <c r="E883" s="4">
        <v>4</v>
      </c>
      <c r="F883" s="4">
        <v>20000</v>
      </c>
      <c r="G883" s="4">
        <v>80000</v>
      </c>
      <c r="H883" t="s">
        <v>17</v>
      </c>
      <c r="I883" t="s">
        <v>62</v>
      </c>
      <c r="J883" t="s">
        <v>62</v>
      </c>
    </row>
    <row r="884" spans="1:10" x14ac:dyDescent="0.25">
      <c r="A884" t="s">
        <v>922</v>
      </c>
      <c r="B884" s="1">
        <v>45240</v>
      </c>
      <c r="C884" t="s">
        <v>29</v>
      </c>
      <c r="D884" t="s">
        <v>24</v>
      </c>
      <c r="E884" s="4">
        <v>3</v>
      </c>
      <c r="F884" s="4">
        <v>15000</v>
      </c>
      <c r="G884" s="4">
        <v>45000</v>
      </c>
      <c r="H884" t="s">
        <v>36</v>
      </c>
      <c r="I884" t="s">
        <v>14</v>
      </c>
      <c r="J884" t="s">
        <v>14</v>
      </c>
    </row>
    <row r="885" spans="1:10" x14ac:dyDescent="0.25">
      <c r="A885" t="s">
        <v>923</v>
      </c>
      <c r="B885" s="1">
        <v>45285</v>
      </c>
      <c r="C885" t="s">
        <v>29</v>
      </c>
      <c r="D885" t="s">
        <v>33</v>
      </c>
      <c r="E885" s="4">
        <v>2</v>
      </c>
      <c r="F885" s="4">
        <v>20000</v>
      </c>
      <c r="G885" s="4">
        <v>40000</v>
      </c>
      <c r="H885" t="s">
        <v>21</v>
      </c>
      <c r="I885" t="s">
        <v>62</v>
      </c>
      <c r="J885" t="s">
        <v>62</v>
      </c>
    </row>
    <row r="886" spans="1:10" x14ac:dyDescent="0.25">
      <c r="A886" t="s">
        <v>924</v>
      </c>
      <c r="B886" s="1">
        <v>44981</v>
      </c>
      <c r="C886" t="s">
        <v>35</v>
      </c>
      <c r="D886" t="s">
        <v>24</v>
      </c>
      <c r="E886" s="4">
        <v>4</v>
      </c>
      <c r="F886" s="4">
        <v>12500</v>
      </c>
      <c r="G886" s="4">
        <v>50000</v>
      </c>
      <c r="H886" t="s">
        <v>13</v>
      </c>
      <c r="I886" t="s">
        <v>27</v>
      </c>
      <c r="J886" t="s">
        <v>27</v>
      </c>
    </row>
    <row r="887" spans="1:10" x14ac:dyDescent="0.25">
      <c r="A887" t="s">
        <v>925</v>
      </c>
      <c r="B887" s="1">
        <v>45263</v>
      </c>
      <c r="C887" t="s">
        <v>55</v>
      </c>
      <c r="D887" t="s">
        <v>50</v>
      </c>
      <c r="E887" s="4">
        <v>4</v>
      </c>
      <c r="F887" s="4">
        <v>5000</v>
      </c>
      <c r="G887" s="4">
        <v>20000</v>
      </c>
      <c r="H887" t="s">
        <v>13</v>
      </c>
      <c r="I887" t="s">
        <v>25</v>
      </c>
      <c r="J887" t="s">
        <v>25</v>
      </c>
    </row>
    <row r="888" spans="1:10" x14ac:dyDescent="0.25">
      <c r="A888" t="s">
        <v>926</v>
      </c>
      <c r="B888" s="1">
        <v>45105</v>
      </c>
      <c r="C888" t="s">
        <v>66</v>
      </c>
      <c r="D888" t="s">
        <v>33</v>
      </c>
      <c r="E888" s="4">
        <v>4</v>
      </c>
      <c r="F888" s="4">
        <v>15000</v>
      </c>
      <c r="G888" s="4">
        <v>60000</v>
      </c>
      <c r="H888" t="s">
        <v>13</v>
      </c>
      <c r="I888" t="s">
        <v>14</v>
      </c>
      <c r="J888" t="s">
        <v>14</v>
      </c>
    </row>
    <row r="889" spans="1:10" x14ac:dyDescent="0.25">
      <c r="A889" t="s">
        <v>927</v>
      </c>
      <c r="B889" s="1">
        <v>45264</v>
      </c>
      <c r="C889" t="s">
        <v>55</v>
      </c>
      <c r="D889" t="s">
        <v>60</v>
      </c>
      <c r="E889" s="4">
        <v>4</v>
      </c>
      <c r="F889" s="4">
        <v>5000</v>
      </c>
      <c r="G889" s="4">
        <v>20000</v>
      </c>
      <c r="H889" t="s">
        <v>36</v>
      </c>
      <c r="I889" t="s">
        <v>25</v>
      </c>
      <c r="J889" t="s">
        <v>25</v>
      </c>
    </row>
    <row r="890" spans="1:10" x14ac:dyDescent="0.25">
      <c r="A890" t="s">
        <v>928</v>
      </c>
      <c r="B890" s="1">
        <v>45059</v>
      </c>
      <c r="C890" t="s">
        <v>75</v>
      </c>
      <c r="D890" t="s">
        <v>20</v>
      </c>
      <c r="E890" s="4">
        <v>3</v>
      </c>
      <c r="F890" s="4">
        <v>15000</v>
      </c>
      <c r="G890" s="4">
        <v>45000</v>
      </c>
      <c r="H890" t="s">
        <v>21</v>
      </c>
      <c r="I890" t="s">
        <v>27</v>
      </c>
      <c r="J890" t="s">
        <v>18</v>
      </c>
    </row>
    <row r="891" spans="1:10" x14ac:dyDescent="0.25">
      <c r="A891" t="s">
        <v>929</v>
      </c>
      <c r="B891" s="1">
        <v>45267</v>
      </c>
      <c r="C891" t="s">
        <v>16</v>
      </c>
      <c r="D891" t="s">
        <v>12</v>
      </c>
      <c r="E891" s="4">
        <v>4</v>
      </c>
      <c r="F891" s="4">
        <v>10000</v>
      </c>
      <c r="G891" s="4">
        <v>40000</v>
      </c>
      <c r="H891" t="s">
        <v>21</v>
      </c>
      <c r="I891" t="s">
        <v>14</v>
      </c>
      <c r="J891" t="s">
        <v>14</v>
      </c>
    </row>
    <row r="892" spans="1:10" x14ac:dyDescent="0.25">
      <c r="A892" t="s">
        <v>930</v>
      </c>
      <c r="B892" s="1">
        <v>44959</v>
      </c>
      <c r="C892" t="s">
        <v>55</v>
      </c>
      <c r="D892" t="s">
        <v>48</v>
      </c>
      <c r="E892" s="4">
        <v>5</v>
      </c>
      <c r="F892" s="4">
        <v>15000</v>
      </c>
      <c r="G892" s="4">
        <v>75000</v>
      </c>
      <c r="H892" t="s">
        <v>17</v>
      </c>
      <c r="I892" t="s">
        <v>27</v>
      </c>
      <c r="J892" t="s">
        <v>27</v>
      </c>
    </row>
    <row r="893" spans="1:10" x14ac:dyDescent="0.25">
      <c r="A893" t="s">
        <v>931</v>
      </c>
      <c r="B893" s="1">
        <v>45284</v>
      </c>
      <c r="C893" t="s">
        <v>35</v>
      </c>
      <c r="D893" t="s">
        <v>24</v>
      </c>
      <c r="E893" s="4">
        <v>4</v>
      </c>
      <c r="F893" s="4">
        <v>10000</v>
      </c>
      <c r="G893" s="4">
        <v>40000</v>
      </c>
      <c r="H893" t="s">
        <v>13</v>
      </c>
      <c r="I893" t="s">
        <v>14</v>
      </c>
      <c r="J893" t="s">
        <v>14</v>
      </c>
    </row>
    <row r="894" spans="1:10" x14ac:dyDescent="0.25">
      <c r="A894" t="s">
        <v>932</v>
      </c>
      <c r="B894" s="1">
        <v>45197</v>
      </c>
      <c r="C894" t="s">
        <v>32</v>
      </c>
      <c r="D894" t="s">
        <v>30</v>
      </c>
      <c r="E894" s="4">
        <v>1</v>
      </c>
      <c r="F894" s="4">
        <v>15000</v>
      </c>
      <c r="G894" s="4">
        <v>15000</v>
      </c>
      <c r="H894" t="s">
        <v>17</v>
      </c>
      <c r="I894" t="s">
        <v>14</v>
      </c>
      <c r="J894" t="s">
        <v>14</v>
      </c>
    </row>
    <row r="895" spans="1:10" x14ac:dyDescent="0.25">
      <c r="A895" t="s">
        <v>933</v>
      </c>
      <c r="B895" s="1">
        <v>44963</v>
      </c>
      <c r="C895" t="s">
        <v>16</v>
      </c>
      <c r="D895" t="s">
        <v>44</v>
      </c>
      <c r="E895" s="4">
        <v>2</v>
      </c>
      <c r="F895" s="4">
        <v>10000</v>
      </c>
      <c r="G895" s="4">
        <v>20000</v>
      </c>
      <c r="H895" t="s">
        <v>36</v>
      </c>
      <c r="I895" t="s">
        <v>14</v>
      </c>
      <c r="J895" t="s">
        <v>14</v>
      </c>
    </row>
    <row r="896" spans="1:10" x14ac:dyDescent="0.25">
      <c r="A896" t="s">
        <v>934</v>
      </c>
      <c r="B896" s="1">
        <v>44997</v>
      </c>
      <c r="C896" t="s">
        <v>75</v>
      </c>
      <c r="D896" t="s">
        <v>12</v>
      </c>
      <c r="E896" s="4">
        <v>4</v>
      </c>
      <c r="F896" s="4">
        <v>20000</v>
      </c>
      <c r="G896" s="4">
        <v>80000</v>
      </c>
      <c r="H896" t="s">
        <v>36</v>
      </c>
      <c r="I896" t="s">
        <v>27</v>
      </c>
      <c r="J896" t="s">
        <v>27</v>
      </c>
    </row>
    <row r="897" spans="1:10" x14ac:dyDescent="0.25">
      <c r="A897" t="s">
        <v>935</v>
      </c>
      <c r="B897" s="1">
        <v>45116</v>
      </c>
      <c r="C897" t="s">
        <v>68</v>
      </c>
      <c r="D897" t="s">
        <v>33</v>
      </c>
      <c r="E897" s="4">
        <v>3</v>
      </c>
      <c r="F897" s="4">
        <v>5000</v>
      </c>
      <c r="G897" s="4">
        <v>15000</v>
      </c>
      <c r="H897" t="s">
        <v>21</v>
      </c>
      <c r="I897" t="s">
        <v>62</v>
      </c>
      <c r="J897" t="s">
        <v>62</v>
      </c>
    </row>
    <row r="898" spans="1:10" x14ac:dyDescent="0.25">
      <c r="A898" t="s">
        <v>936</v>
      </c>
      <c r="B898" s="1">
        <v>45221</v>
      </c>
      <c r="C898" t="s">
        <v>75</v>
      </c>
      <c r="D898" t="s">
        <v>30</v>
      </c>
      <c r="E898" s="4">
        <v>5</v>
      </c>
      <c r="F898" s="4">
        <v>15000</v>
      </c>
      <c r="G898" s="4">
        <v>75000</v>
      </c>
      <c r="H898" t="s">
        <v>21</v>
      </c>
      <c r="I898" t="s">
        <v>25</v>
      </c>
      <c r="J898" t="s">
        <v>25</v>
      </c>
    </row>
    <row r="899" spans="1:10" x14ac:dyDescent="0.25">
      <c r="A899" t="s">
        <v>937</v>
      </c>
      <c r="B899" s="1">
        <v>45061</v>
      </c>
      <c r="C899" t="s">
        <v>66</v>
      </c>
      <c r="D899" t="s">
        <v>48</v>
      </c>
      <c r="E899" s="4">
        <v>1</v>
      </c>
      <c r="F899" s="4">
        <v>15000</v>
      </c>
      <c r="G899" s="4">
        <v>15000</v>
      </c>
      <c r="H899" t="s">
        <v>21</v>
      </c>
      <c r="I899" t="s">
        <v>14</v>
      </c>
      <c r="J899" t="s">
        <v>14</v>
      </c>
    </row>
    <row r="900" spans="1:10" x14ac:dyDescent="0.25">
      <c r="A900" t="s">
        <v>938</v>
      </c>
      <c r="B900" s="1">
        <v>45266</v>
      </c>
      <c r="C900" t="s">
        <v>23</v>
      </c>
      <c r="D900" t="s">
        <v>48</v>
      </c>
      <c r="E900" s="4">
        <v>2</v>
      </c>
      <c r="F900" s="4">
        <v>20000</v>
      </c>
      <c r="G900" s="4">
        <v>40000</v>
      </c>
      <c r="H900" t="s">
        <v>17</v>
      </c>
      <c r="I900" t="s">
        <v>62</v>
      </c>
      <c r="J900" t="s">
        <v>62</v>
      </c>
    </row>
    <row r="901" spans="1:10" x14ac:dyDescent="0.25">
      <c r="A901" t="s">
        <v>939</v>
      </c>
      <c r="B901" s="1">
        <v>44993</v>
      </c>
      <c r="C901" t="s">
        <v>42</v>
      </c>
      <c r="D901" t="s">
        <v>60</v>
      </c>
      <c r="E901" s="4">
        <v>3</v>
      </c>
      <c r="F901" s="4">
        <v>5000</v>
      </c>
      <c r="G901" s="4">
        <v>15000</v>
      </c>
      <c r="H901" t="s">
        <v>17</v>
      </c>
      <c r="I901" t="s">
        <v>25</v>
      </c>
      <c r="J901" t="s">
        <v>25</v>
      </c>
    </row>
    <row r="902" spans="1:10" x14ac:dyDescent="0.25">
      <c r="A902" t="s">
        <v>940</v>
      </c>
      <c r="B902" s="1">
        <v>45043</v>
      </c>
      <c r="C902" t="s">
        <v>42</v>
      </c>
      <c r="D902" t="s">
        <v>48</v>
      </c>
      <c r="E902" s="4">
        <v>1</v>
      </c>
      <c r="F902" s="4">
        <v>5000</v>
      </c>
      <c r="G902" s="4">
        <v>5000</v>
      </c>
      <c r="H902" t="s">
        <v>36</v>
      </c>
      <c r="I902" t="s">
        <v>27</v>
      </c>
      <c r="J902" t="s">
        <v>27</v>
      </c>
    </row>
    <row r="903" spans="1:10" x14ac:dyDescent="0.25">
      <c r="A903" t="s">
        <v>941</v>
      </c>
      <c r="B903" s="1">
        <v>45116</v>
      </c>
      <c r="C903" t="s">
        <v>16</v>
      </c>
      <c r="D903" t="s">
        <v>20</v>
      </c>
      <c r="E903" s="4">
        <v>1</v>
      </c>
      <c r="F903" s="4">
        <v>20000</v>
      </c>
      <c r="G903" s="4">
        <v>20000</v>
      </c>
      <c r="H903" t="s">
        <v>21</v>
      </c>
      <c r="I903" t="s">
        <v>62</v>
      </c>
      <c r="J903" t="s">
        <v>62</v>
      </c>
    </row>
    <row r="904" spans="1:10" x14ac:dyDescent="0.25">
      <c r="A904" t="s">
        <v>942</v>
      </c>
      <c r="B904" s="1">
        <v>45138</v>
      </c>
      <c r="C904" t="s">
        <v>23</v>
      </c>
      <c r="D904" t="s">
        <v>33</v>
      </c>
      <c r="E904" s="4">
        <v>5</v>
      </c>
      <c r="F904" s="4">
        <v>5000</v>
      </c>
      <c r="G904" s="4">
        <v>25000</v>
      </c>
      <c r="H904" t="s">
        <v>13</v>
      </c>
      <c r="I904" t="s">
        <v>27</v>
      </c>
      <c r="J904" t="s">
        <v>27</v>
      </c>
    </row>
    <row r="905" spans="1:10" x14ac:dyDescent="0.25">
      <c r="A905" t="s">
        <v>943</v>
      </c>
      <c r="B905" s="1">
        <v>45052</v>
      </c>
      <c r="C905" t="s">
        <v>29</v>
      </c>
      <c r="D905" t="s">
        <v>60</v>
      </c>
      <c r="E905" s="4">
        <v>2</v>
      </c>
      <c r="F905" s="4">
        <v>15000</v>
      </c>
      <c r="G905" s="4">
        <v>30000</v>
      </c>
      <c r="H905" t="s">
        <v>36</v>
      </c>
      <c r="I905" t="s">
        <v>27</v>
      </c>
      <c r="J905" t="s">
        <v>27</v>
      </c>
    </row>
    <row r="906" spans="1:10" x14ac:dyDescent="0.25">
      <c r="A906" t="s">
        <v>944</v>
      </c>
      <c r="B906" s="1">
        <v>45109</v>
      </c>
      <c r="C906" t="s">
        <v>35</v>
      </c>
      <c r="D906" t="s">
        <v>30</v>
      </c>
      <c r="E906" s="4">
        <v>4</v>
      </c>
      <c r="F906" s="4">
        <v>10000</v>
      </c>
      <c r="G906" s="4">
        <v>40000</v>
      </c>
      <c r="H906" t="s">
        <v>21</v>
      </c>
      <c r="I906" t="s">
        <v>18</v>
      </c>
      <c r="J906" t="s">
        <v>18</v>
      </c>
    </row>
    <row r="907" spans="1:10" x14ac:dyDescent="0.25">
      <c r="A907" t="s">
        <v>945</v>
      </c>
      <c r="B907" s="1">
        <v>44980</v>
      </c>
      <c r="C907" t="s">
        <v>23</v>
      </c>
      <c r="D907" t="s">
        <v>48</v>
      </c>
      <c r="E907" s="4">
        <v>3</v>
      </c>
      <c r="F907" s="4">
        <v>20000</v>
      </c>
      <c r="G907" s="4">
        <v>60000</v>
      </c>
      <c r="H907" t="s">
        <v>36</v>
      </c>
      <c r="I907" t="s">
        <v>62</v>
      </c>
      <c r="J907" t="s">
        <v>62</v>
      </c>
    </row>
    <row r="908" spans="1:10" x14ac:dyDescent="0.25">
      <c r="A908" t="s">
        <v>946</v>
      </c>
      <c r="B908" s="1">
        <v>45116</v>
      </c>
      <c r="C908" t="s">
        <v>55</v>
      </c>
      <c r="D908" t="s">
        <v>12</v>
      </c>
      <c r="E908" s="4">
        <v>3</v>
      </c>
      <c r="F908" s="4">
        <v>10000</v>
      </c>
      <c r="G908" s="4">
        <v>30000</v>
      </c>
      <c r="H908" t="s">
        <v>17</v>
      </c>
      <c r="I908" t="s">
        <v>14</v>
      </c>
      <c r="J908" t="s">
        <v>14</v>
      </c>
    </row>
    <row r="909" spans="1:10" x14ac:dyDescent="0.25">
      <c r="A909" t="s">
        <v>947</v>
      </c>
      <c r="B909" s="1">
        <v>45069</v>
      </c>
      <c r="C909" t="s">
        <v>75</v>
      </c>
      <c r="D909" t="s">
        <v>50</v>
      </c>
      <c r="E909" s="4">
        <v>4</v>
      </c>
      <c r="F909" s="4">
        <v>15000</v>
      </c>
      <c r="G909" s="4">
        <v>60000</v>
      </c>
      <c r="H909" t="s">
        <v>17</v>
      </c>
      <c r="I909" t="s">
        <v>62</v>
      </c>
      <c r="J909" t="s">
        <v>62</v>
      </c>
    </row>
    <row r="910" spans="1:10" x14ac:dyDescent="0.25">
      <c r="A910" t="s">
        <v>948</v>
      </c>
      <c r="B910" s="1">
        <v>45021</v>
      </c>
      <c r="C910" t="s">
        <v>42</v>
      </c>
      <c r="D910" t="s">
        <v>38</v>
      </c>
      <c r="E910" s="4">
        <v>5</v>
      </c>
      <c r="F910" s="4">
        <v>5000</v>
      </c>
      <c r="G910" s="4">
        <v>25000</v>
      </c>
      <c r="H910" t="s">
        <v>21</v>
      </c>
      <c r="I910" t="s">
        <v>27</v>
      </c>
      <c r="J910" t="s">
        <v>27</v>
      </c>
    </row>
    <row r="911" spans="1:10" x14ac:dyDescent="0.25">
      <c r="A911" t="s">
        <v>949</v>
      </c>
      <c r="B911" s="1">
        <v>45061</v>
      </c>
      <c r="C911" t="s">
        <v>68</v>
      </c>
      <c r="D911" t="s">
        <v>50</v>
      </c>
      <c r="E911" s="4">
        <v>2</v>
      </c>
      <c r="F911" s="4">
        <v>12500</v>
      </c>
      <c r="G911" s="4">
        <v>25000</v>
      </c>
      <c r="H911" t="s">
        <v>21</v>
      </c>
      <c r="I911" t="s">
        <v>18</v>
      </c>
      <c r="J911" t="s">
        <v>18</v>
      </c>
    </row>
    <row r="912" spans="1:10" x14ac:dyDescent="0.25">
      <c r="A912" t="s">
        <v>950</v>
      </c>
      <c r="B912" s="1">
        <v>45210</v>
      </c>
      <c r="C912" t="s">
        <v>75</v>
      </c>
      <c r="D912" t="s">
        <v>38</v>
      </c>
      <c r="E912" s="4">
        <v>3</v>
      </c>
      <c r="F912" s="4">
        <v>10000</v>
      </c>
      <c r="G912" s="4">
        <v>30000</v>
      </c>
      <c r="H912" t="s">
        <v>36</v>
      </c>
      <c r="I912" t="s">
        <v>25</v>
      </c>
      <c r="J912" t="s">
        <v>25</v>
      </c>
    </row>
    <row r="913" spans="1:10" x14ac:dyDescent="0.25">
      <c r="A913" t="s">
        <v>951</v>
      </c>
      <c r="B913" s="1">
        <v>45048</v>
      </c>
      <c r="C913" t="s">
        <v>16</v>
      </c>
      <c r="D913" t="s">
        <v>20</v>
      </c>
      <c r="E913" s="4">
        <v>1</v>
      </c>
      <c r="F913" s="4">
        <v>15000</v>
      </c>
      <c r="G913" s="4">
        <v>15000</v>
      </c>
      <c r="H913" t="s">
        <v>21</v>
      </c>
      <c r="I913" t="s">
        <v>27</v>
      </c>
      <c r="J913" t="s">
        <v>27</v>
      </c>
    </row>
    <row r="914" spans="1:10" x14ac:dyDescent="0.25">
      <c r="A914" t="s">
        <v>952</v>
      </c>
      <c r="B914" s="1">
        <v>45064</v>
      </c>
      <c r="C914" t="s">
        <v>35</v>
      </c>
      <c r="D914" t="s">
        <v>60</v>
      </c>
      <c r="E914" s="4">
        <v>3</v>
      </c>
      <c r="F914" s="4">
        <v>12500</v>
      </c>
      <c r="G914" s="4">
        <v>37500</v>
      </c>
      <c r="H914" t="s">
        <v>17</v>
      </c>
      <c r="I914" t="s">
        <v>27</v>
      </c>
      <c r="J914" t="s">
        <v>27</v>
      </c>
    </row>
    <row r="915" spans="1:10" x14ac:dyDescent="0.25">
      <c r="A915" t="s">
        <v>953</v>
      </c>
      <c r="B915" s="1">
        <v>45152</v>
      </c>
      <c r="C915" t="s">
        <v>16</v>
      </c>
      <c r="D915" t="s">
        <v>48</v>
      </c>
      <c r="E915" s="4">
        <v>4</v>
      </c>
      <c r="F915" s="4">
        <v>5000</v>
      </c>
      <c r="G915" s="4">
        <v>20000</v>
      </c>
      <c r="H915" t="s">
        <v>36</v>
      </c>
      <c r="I915" t="s">
        <v>18</v>
      </c>
      <c r="J915" t="s">
        <v>18</v>
      </c>
    </row>
    <row r="916" spans="1:10" x14ac:dyDescent="0.25">
      <c r="A916" t="s">
        <v>954</v>
      </c>
      <c r="B916" s="1">
        <v>44959</v>
      </c>
      <c r="C916" t="s">
        <v>11</v>
      </c>
      <c r="D916" t="s">
        <v>24</v>
      </c>
      <c r="E916" s="4">
        <v>2</v>
      </c>
      <c r="F916" s="4">
        <v>15000</v>
      </c>
      <c r="G916" s="4">
        <v>30000</v>
      </c>
      <c r="H916" t="s">
        <v>21</v>
      </c>
      <c r="I916" t="s">
        <v>25</v>
      </c>
      <c r="J916" t="s">
        <v>25</v>
      </c>
    </row>
    <row r="917" spans="1:10" x14ac:dyDescent="0.25">
      <c r="A917" t="s">
        <v>955</v>
      </c>
      <c r="B917" s="1">
        <v>45262</v>
      </c>
      <c r="C917" t="s">
        <v>66</v>
      </c>
      <c r="D917" t="s">
        <v>48</v>
      </c>
      <c r="E917" s="4">
        <v>2</v>
      </c>
      <c r="F917" s="4">
        <v>10000</v>
      </c>
      <c r="G917" s="4">
        <v>20000</v>
      </c>
      <c r="H917" t="s">
        <v>36</v>
      </c>
      <c r="I917" t="s">
        <v>18</v>
      </c>
      <c r="J917" t="s">
        <v>18</v>
      </c>
    </row>
    <row r="918" spans="1:10" x14ac:dyDescent="0.25">
      <c r="A918" t="s">
        <v>956</v>
      </c>
      <c r="B918" s="1">
        <v>45058</v>
      </c>
      <c r="C918" t="s">
        <v>16</v>
      </c>
      <c r="D918" t="s">
        <v>48</v>
      </c>
      <c r="E918" s="4">
        <v>3</v>
      </c>
      <c r="F918" s="4">
        <v>12500</v>
      </c>
      <c r="G918" s="4">
        <v>37500</v>
      </c>
      <c r="H918" t="s">
        <v>17</v>
      </c>
      <c r="I918" t="s">
        <v>18</v>
      </c>
      <c r="J918" t="s">
        <v>18</v>
      </c>
    </row>
    <row r="919" spans="1:10" x14ac:dyDescent="0.25">
      <c r="A919" t="s">
        <v>957</v>
      </c>
      <c r="B919" s="1">
        <v>45093</v>
      </c>
      <c r="C919" t="s">
        <v>29</v>
      </c>
      <c r="D919" t="s">
        <v>50</v>
      </c>
      <c r="E919" s="4">
        <v>3</v>
      </c>
      <c r="F919" s="4">
        <v>12500</v>
      </c>
      <c r="G919" s="4">
        <v>37500</v>
      </c>
      <c r="H919" t="s">
        <v>36</v>
      </c>
      <c r="I919" t="s">
        <v>27</v>
      </c>
      <c r="J919" t="s">
        <v>27</v>
      </c>
    </row>
    <row r="920" spans="1:10" x14ac:dyDescent="0.25">
      <c r="A920" t="s">
        <v>958</v>
      </c>
      <c r="B920" s="1">
        <v>45135</v>
      </c>
      <c r="C920" t="s">
        <v>66</v>
      </c>
      <c r="D920" t="s">
        <v>44</v>
      </c>
      <c r="E920" s="4">
        <v>4</v>
      </c>
      <c r="F920" s="4">
        <v>15000</v>
      </c>
      <c r="G920" s="4">
        <v>60000</v>
      </c>
      <c r="H920" t="s">
        <v>17</v>
      </c>
      <c r="I920" t="s">
        <v>14</v>
      </c>
      <c r="J920" t="s">
        <v>14</v>
      </c>
    </row>
    <row r="921" spans="1:10" x14ac:dyDescent="0.25">
      <c r="A921" t="s">
        <v>959</v>
      </c>
      <c r="B921" s="1">
        <v>45116</v>
      </c>
      <c r="C921" t="s">
        <v>68</v>
      </c>
      <c r="D921" t="s">
        <v>33</v>
      </c>
      <c r="E921" s="4">
        <v>3</v>
      </c>
      <c r="F921" s="4">
        <v>12500</v>
      </c>
      <c r="G921" s="4">
        <v>37500</v>
      </c>
      <c r="H921" t="s">
        <v>21</v>
      </c>
      <c r="I921" t="s">
        <v>14</v>
      </c>
      <c r="J921" t="s">
        <v>14</v>
      </c>
    </row>
    <row r="922" spans="1:10" x14ac:dyDescent="0.25">
      <c r="A922" t="s">
        <v>960</v>
      </c>
      <c r="B922" s="1">
        <v>44966</v>
      </c>
      <c r="C922" t="s">
        <v>23</v>
      </c>
      <c r="D922" t="s">
        <v>30</v>
      </c>
      <c r="E922" s="4">
        <v>5</v>
      </c>
      <c r="F922" s="4">
        <v>15000</v>
      </c>
      <c r="G922" s="4">
        <v>75000</v>
      </c>
      <c r="H922" t="s">
        <v>36</v>
      </c>
      <c r="I922" t="s">
        <v>18</v>
      </c>
      <c r="J922" t="s">
        <v>18</v>
      </c>
    </row>
    <row r="923" spans="1:10" x14ac:dyDescent="0.25">
      <c r="A923" t="s">
        <v>961</v>
      </c>
      <c r="B923" s="1">
        <v>45152</v>
      </c>
      <c r="C923" t="s">
        <v>66</v>
      </c>
      <c r="D923" t="s">
        <v>44</v>
      </c>
      <c r="E923" s="4">
        <v>3</v>
      </c>
      <c r="F923" s="4">
        <v>10000</v>
      </c>
      <c r="G923" s="4">
        <v>30000</v>
      </c>
      <c r="H923" t="s">
        <v>21</v>
      </c>
      <c r="I923" t="s">
        <v>14</v>
      </c>
      <c r="J923" t="s">
        <v>14</v>
      </c>
    </row>
    <row r="924" spans="1:10" x14ac:dyDescent="0.25">
      <c r="A924" t="s">
        <v>962</v>
      </c>
      <c r="B924" s="1">
        <v>44986</v>
      </c>
      <c r="C924" t="s">
        <v>66</v>
      </c>
      <c r="D924" t="s">
        <v>30</v>
      </c>
      <c r="E924" s="4">
        <v>4</v>
      </c>
      <c r="F924" s="4">
        <v>10000</v>
      </c>
      <c r="G924" s="4">
        <v>40000</v>
      </c>
      <c r="H924" t="s">
        <v>21</v>
      </c>
      <c r="I924" t="s">
        <v>27</v>
      </c>
      <c r="J924" t="s">
        <v>27</v>
      </c>
    </row>
    <row r="925" spans="1:10" x14ac:dyDescent="0.25">
      <c r="A925" t="s">
        <v>963</v>
      </c>
      <c r="B925" s="1">
        <v>45141</v>
      </c>
      <c r="C925" t="s">
        <v>29</v>
      </c>
      <c r="D925" t="s">
        <v>30</v>
      </c>
      <c r="E925" s="4">
        <v>5</v>
      </c>
      <c r="F925" s="4">
        <v>12500</v>
      </c>
      <c r="G925" s="4">
        <v>62500</v>
      </c>
      <c r="H925" t="s">
        <v>13</v>
      </c>
      <c r="I925" t="s">
        <v>25</v>
      </c>
      <c r="J925" t="s">
        <v>25</v>
      </c>
    </row>
    <row r="926" spans="1:10" x14ac:dyDescent="0.25">
      <c r="A926" t="s">
        <v>964</v>
      </c>
      <c r="B926" s="1">
        <v>44968</v>
      </c>
      <c r="C926" t="s">
        <v>11</v>
      </c>
      <c r="D926" t="s">
        <v>38</v>
      </c>
      <c r="E926" s="4">
        <v>4</v>
      </c>
      <c r="F926" s="4">
        <v>15000</v>
      </c>
      <c r="G926" s="4">
        <v>60000</v>
      </c>
      <c r="H926" t="s">
        <v>36</v>
      </c>
      <c r="I926" t="s">
        <v>14</v>
      </c>
      <c r="J926" t="s">
        <v>14</v>
      </c>
    </row>
    <row r="927" spans="1:10" x14ac:dyDescent="0.25">
      <c r="A927" t="s">
        <v>965</v>
      </c>
      <c r="B927" s="1">
        <v>45167</v>
      </c>
      <c r="C927" t="s">
        <v>11</v>
      </c>
      <c r="D927" t="s">
        <v>12</v>
      </c>
      <c r="E927" s="4">
        <v>2</v>
      </c>
      <c r="F927" s="4">
        <v>12500</v>
      </c>
      <c r="G927" s="4">
        <v>25000</v>
      </c>
      <c r="H927" t="s">
        <v>36</v>
      </c>
      <c r="I927" t="s">
        <v>27</v>
      </c>
      <c r="J927" t="s">
        <v>27</v>
      </c>
    </row>
    <row r="928" spans="1:10" x14ac:dyDescent="0.25">
      <c r="A928" t="s">
        <v>966</v>
      </c>
      <c r="B928" s="1">
        <v>45108</v>
      </c>
      <c r="C928" t="s">
        <v>23</v>
      </c>
      <c r="D928" t="s">
        <v>20</v>
      </c>
      <c r="E928" s="4">
        <v>4</v>
      </c>
      <c r="F928" s="4">
        <v>10000</v>
      </c>
      <c r="G928" s="4">
        <v>40000</v>
      </c>
      <c r="H928" t="s">
        <v>13</v>
      </c>
      <c r="I928" t="s">
        <v>62</v>
      </c>
      <c r="J928" t="s">
        <v>62</v>
      </c>
    </row>
    <row r="929" spans="1:10" x14ac:dyDescent="0.25">
      <c r="A929" t="s">
        <v>967</v>
      </c>
      <c r="B929" s="1">
        <v>44950</v>
      </c>
      <c r="C929" t="s">
        <v>68</v>
      </c>
      <c r="D929" t="s">
        <v>12</v>
      </c>
      <c r="E929" s="4">
        <v>3</v>
      </c>
      <c r="F929" s="4">
        <v>15000</v>
      </c>
      <c r="G929" s="4">
        <v>45000</v>
      </c>
      <c r="H929" t="s">
        <v>36</v>
      </c>
      <c r="I929" t="s">
        <v>25</v>
      </c>
      <c r="J929" t="s">
        <v>25</v>
      </c>
    </row>
    <row r="930" spans="1:10" x14ac:dyDescent="0.25">
      <c r="A930" t="s">
        <v>968</v>
      </c>
      <c r="B930" s="1">
        <v>45187</v>
      </c>
      <c r="C930" t="s">
        <v>68</v>
      </c>
      <c r="D930" t="s">
        <v>12</v>
      </c>
      <c r="E930" s="4">
        <v>2</v>
      </c>
      <c r="F930" s="4">
        <v>5000</v>
      </c>
      <c r="G930" s="4">
        <v>10000</v>
      </c>
      <c r="H930" t="s">
        <v>21</v>
      </c>
      <c r="I930" t="s">
        <v>25</v>
      </c>
      <c r="J930" t="s">
        <v>25</v>
      </c>
    </row>
    <row r="931" spans="1:10" x14ac:dyDescent="0.25">
      <c r="A931" t="s">
        <v>969</v>
      </c>
      <c r="B931" s="1">
        <v>45045</v>
      </c>
      <c r="C931" t="s">
        <v>66</v>
      </c>
      <c r="D931" t="s">
        <v>60</v>
      </c>
      <c r="E931" s="4">
        <v>4</v>
      </c>
      <c r="F931" s="4">
        <v>15000</v>
      </c>
      <c r="G931" s="4">
        <v>60000</v>
      </c>
      <c r="H931" t="s">
        <v>36</v>
      </c>
      <c r="I931" t="s">
        <v>62</v>
      </c>
      <c r="J931" t="s">
        <v>62</v>
      </c>
    </row>
    <row r="932" spans="1:10" x14ac:dyDescent="0.25">
      <c r="A932" t="s">
        <v>970</v>
      </c>
      <c r="B932" s="1">
        <v>45034</v>
      </c>
      <c r="C932" t="s">
        <v>66</v>
      </c>
      <c r="D932" t="s">
        <v>38</v>
      </c>
      <c r="E932" s="4">
        <v>5</v>
      </c>
      <c r="F932" s="4">
        <v>15000</v>
      </c>
      <c r="G932" s="4">
        <v>75000</v>
      </c>
      <c r="H932" t="s">
        <v>21</v>
      </c>
      <c r="I932" t="s">
        <v>27</v>
      </c>
      <c r="J932" t="s">
        <v>27</v>
      </c>
    </row>
    <row r="933" spans="1:10" x14ac:dyDescent="0.25">
      <c r="A933" t="s">
        <v>971</v>
      </c>
      <c r="B933" s="1">
        <v>45074</v>
      </c>
      <c r="C933" t="s">
        <v>11</v>
      </c>
      <c r="D933" t="s">
        <v>60</v>
      </c>
      <c r="E933" s="4">
        <v>5</v>
      </c>
      <c r="F933" s="4">
        <v>12500</v>
      </c>
      <c r="G933" s="4">
        <v>62500</v>
      </c>
      <c r="H933" t="s">
        <v>13</v>
      </c>
      <c r="I933" t="s">
        <v>62</v>
      </c>
      <c r="J933" t="s">
        <v>62</v>
      </c>
    </row>
    <row r="934" spans="1:10" x14ac:dyDescent="0.25">
      <c r="A934" t="s">
        <v>972</v>
      </c>
      <c r="B934" s="1">
        <v>44947</v>
      </c>
      <c r="C934" t="s">
        <v>32</v>
      </c>
      <c r="D934" t="s">
        <v>33</v>
      </c>
      <c r="E934" s="4">
        <v>5</v>
      </c>
      <c r="F934" s="4">
        <v>12500</v>
      </c>
      <c r="G934" s="4">
        <v>62500</v>
      </c>
      <c r="H934" t="s">
        <v>17</v>
      </c>
      <c r="I934" t="s">
        <v>25</v>
      </c>
      <c r="J934" t="s">
        <v>25</v>
      </c>
    </row>
    <row r="935" spans="1:10" x14ac:dyDescent="0.25">
      <c r="A935" t="s">
        <v>973</v>
      </c>
      <c r="B935" s="1">
        <v>44991</v>
      </c>
      <c r="C935" t="s">
        <v>68</v>
      </c>
      <c r="D935" t="s">
        <v>24</v>
      </c>
      <c r="E935" s="4">
        <v>3</v>
      </c>
      <c r="F935" s="4">
        <v>5000</v>
      </c>
      <c r="G935" s="4">
        <v>15000</v>
      </c>
      <c r="H935" t="s">
        <v>17</v>
      </c>
      <c r="I935" t="s">
        <v>25</v>
      </c>
      <c r="J935" t="s">
        <v>25</v>
      </c>
    </row>
    <row r="936" spans="1:10" x14ac:dyDescent="0.25">
      <c r="A936" t="s">
        <v>974</v>
      </c>
      <c r="B936" s="1">
        <v>45108</v>
      </c>
      <c r="C936" t="s">
        <v>11</v>
      </c>
      <c r="D936" t="s">
        <v>12</v>
      </c>
      <c r="E936" s="4">
        <v>3</v>
      </c>
      <c r="F936" s="4">
        <v>12500</v>
      </c>
      <c r="G936" s="4">
        <v>37500</v>
      </c>
      <c r="H936" t="s">
        <v>17</v>
      </c>
      <c r="I936" t="s">
        <v>62</v>
      </c>
      <c r="J936" t="s">
        <v>62</v>
      </c>
    </row>
    <row r="937" spans="1:10" x14ac:dyDescent="0.25">
      <c r="A937" t="s">
        <v>975</v>
      </c>
      <c r="B937" s="1">
        <v>45116</v>
      </c>
      <c r="C937" t="s">
        <v>42</v>
      </c>
      <c r="D937" t="s">
        <v>44</v>
      </c>
      <c r="E937" s="4">
        <v>1</v>
      </c>
      <c r="F937" s="4">
        <v>20000</v>
      </c>
      <c r="G937" s="4">
        <v>20000</v>
      </c>
      <c r="H937" t="s">
        <v>21</v>
      </c>
      <c r="I937" t="s">
        <v>27</v>
      </c>
      <c r="J937" t="s">
        <v>14</v>
      </c>
    </row>
    <row r="938" spans="1:10" x14ac:dyDescent="0.25">
      <c r="A938" t="s">
        <v>976</v>
      </c>
      <c r="B938" s="1">
        <v>44997</v>
      </c>
      <c r="C938" t="s">
        <v>55</v>
      </c>
      <c r="D938" t="s">
        <v>50</v>
      </c>
      <c r="E938" s="4">
        <v>4</v>
      </c>
      <c r="F938" s="4">
        <v>12500</v>
      </c>
      <c r="G938" s="4">
        <v>50000</v>
      </c>
      <c r="H938" t="s">
        <v>13</v>
      </c>
      <c r="I938" t="s">
        <v>62</v>
      </c>
      <c r="J938" t="s">
        <v>62</v>
      </c>
    </row>
    <row r="939" spans="1:10" x14ac:dyDescent="0.25">
      <c r="A939" t="s">
        <v>977</v>
      </c>
      <c r="B939" s="1">
        <v>44972</v>
      </c>
      <c r="C939" t="s">
        <v>23</v>
      </c>
      <c r="D939" t="s">
        <v>33</v>
      </c>
      <c r="E939" s="4">
        <v>3</v>
      </c>
      <c r="F939" s="4">
        <v>10000</v>
      </c>
      <c r="G939" s="4">
        <v>30000</v>
      </c>
      <c r="H939" t="s">
        <v>17</v>
      </c>
      <c r="I939" t="s">
        <v>25</v>
      </c>
      <c r="J939" t="s">
        <v>25</v>
      </c>
    </row>
    <row r="940" spans="1:10" x14ac:dyDescent="0.25">
      <c r="A940" t="s">
        <v>978</v>
      </c>
      <c r="B940" s="1">
        <v>45241</v>
      </c>
      <c r="C940" t="s">
        <v>42</v>
      </c>
      <c r="D940" t="s">
        <v>38</v>
      </c>
      <c r="E940" s="4">
        <v>3</v>
      </c>
      <c r="F940" s="4">
        <v>15000</v>
      </c>
      <c r="G940" s="4">
        <v>45000</v>
      </c>
      <c r="H940" t="s">
        <v>21</v>
      </c>
      <c r="I940" t="s">
        <v>25</v>
      </c>
      <c r="J940" t="s">
        <v>25</v>
      </c>
    </row>
    <row r="941" spans="1:10" x14ac:dyDescent="0.25">
      <c r="A941" t="s">
        <v>979</v>
      </c>
      <c r="B941" s="1">
        <v>45175</v>
      </c>
      <c r="C941" t="s">
        <v>55</v>
      </c>
      <c r="D941" t="s">
        <v>24</v>
      </c>
      <c r="E941" s="4">
        <v>3</v>
      </c>
      <c r="F941" s="4">
        <v>20000</v>
      </c>
      <c r="G941" s="4">
        <v>60000</v>
      </c>
      <c r="H941" t="s">
        <v>21</v>
      </c>
      <c r="I941" t="s">
        <v>18</v>
      </c>
      <c r="J941" t="s">
        <v>18</v>
      </c>
    </row>
    <row r="942" spans="1:10" x14ac:dyDescent="0.25">
      <c r="A942" t="s">
        <v>980</v>
      </c>
      <c r="B942" s="1">
        <v>45141</v>
      </c>
      <c r="C942" t="s">
        <v>11</v>
      </c>
      <c r="D942" t="s">
        <v>24</v>
      </c>
      <c r="E942" s="4">
        <v>3</v>
      </c>
      <c r="F942" s="4">
        <v>10000</v>
      </c>
      <c r="G942" s="4">
        <v>30000</v>
      </c>
      <c r="H942" t="s">
        <v>36</v>
      </c>
      <c r="I942" t="s">
        <v>27</v>
      </c>
      <c r="J942" t="s">
        <v>27</v>
      </c>
    </row>
    <row r="943" spans="1:10" x14ac:dyDescent="0.25">
      <c r="A943" t="s">
        <v>981</v>
      </c>
      <c r="B943" s="1">
        <v>45174</v>
      </c>
      <c r="C943" t="s">
        <v>35</v>
      </c>
      <c r="D943" t="s">
        <v>24</v>
      </c>
      <c r="E943" s="4">
        <v>5</v>
      </c>
      <c r="F943" s="4">
        <v>20000</v>
      </c>
      <c r="G943" s="4">
        <v>100000</v>
      </c>
      <c r="H943" t="s">
        <v>13</v>
      </c>
      <c r="I943" t="s">
        <v>27</v>
      </c>
      <c r="J943" t="s">
        <v>27</v>
      </c>
    </row>
    <row r="944" spans="1:10" x14ac:dyDescent="0.25">
      <c r="A944" t="s">
        <v>982</v>
      </c>
      <c r="B944" s="1">
        <v>45092</v>
      </c>
      <c r="C944" t="s">
        <v>68</v>
      </c>
      <c r="D944" t="s">
        <v>60</v>
      </c>
      <c r="E944" s="4">
        <v>3</v>
      </c>
      <c r="F944" s="4">
        <v>15000</v>
      </c>
      <c r="G944" s="4">
        <v>45000</v>
      </c>
      <c r="H944" t="s">
        <v>36</v>
      </c>
      <c r="I944" t="s">
        <v>25</v>
      </c>
      <c r="J944" t="s">
        <v>25</v>
      </c>
    </row>
    <row r="945" spans="1:10" x14ac:dyDescent="0.25">
      <c r="A945" t="s">
        <v>983</v>
      </c>
      <c r="B945" s="1">
        <v>44950</v>
      </c>
      <c r="C945" t="s">
        <v>16</v>
      </c>
      <c r="D945" t="s">
        <v>60</v>
      </c>
      <c r="E945" s="4">
        <v>4</v>
      </c>
      <c r="F945" s="4">
        <v>20000</v>
      </c>
      <c r="G945" s="4">
        <v>80000</v>
      </c>
      <c r="H945" t="s">
        <v>13</v>
      </c>
      <c r="I945" t="s">
        <v>18</v>
      </c>
      <c r="J945" t="s">
        <v>18</v>
      </c>
    </row>
    <row r="946" spans="1:10" x14ac:dyDescent="0.25">
      <c r="A946" t="s">
        <v>984</v>
      </c>
      <c r="B946" s="1">
        <v>45203</v>
      </c>
      <c r="C946" t="s">
        <v>66</v>
      </c>
      <c r="D946" t="s">
        <v>48</v>
      </c>
      <c r="E946" s="4">
        <v>3</v>
      </c>
      <c r="F946" s="4">
        <v>5000</v>
      </c>
      <c r="G946" s="4">
        <v>15000</v>
      </c>
      <c r="H946" t="s">
        <v>17</v>
      </c>
      <c r="I946" t="s">
        <v>62</v>
      </c>
      <c r="J946" t="s">
        <v>62</v>
      </c>
    </row>
    <row r="947" spans="1:10" x14ac:dyDescent="0.25">
      <c r="A947" t="s">
        <v>985</v>
      </c>
      <c r="B947" s="1">
        <v>45028</v>
      </c>
      <c r="C947" t="s">
        <v>11</v>
      </c>
      <c r="D947" t="s">
        <v>20</v>
      </c>
      <c r="E947" s="4">
        <v>5</v>
      </c>
      <c r="F947" s="4">
        <v>20000</v>
      </c>
      <c r="G947" s="4">
        <v>100000</v>
      </c>
      <c r="H947" t="s">
        <v>13</v>
      </c>
      <c r="I947" t="s">
        <v>62</v>
      </c>
      <c r="J947" t="s">
        <v>62</v>
      </c>
    </row>
    <row r="948" spans="1:10" x14ac:dyDescent="0.25">
      <c r="A948" t="s">
        <v>986</v>
      </c>
      <c r="B948" s="1">
        <v>44945</v>
      </c>
      <c r="C948" t="s">
        <v>32</v>
      </c>
      <c r="D948" t="s">
        <v>48</v>
      </c>
      <c r="E948" s="4">
        <v>5</v>
      </c>
      <c r="F948" s="4">
        <v>5000</v>
      </c>
      <c r="G948" s="4">
        <v>25000</v>
      </c>
      <c r="H948" t="s">
        <v>36</v>
      </c>
      <c r="I948" t="s">
        <v>25</v>
      </c>
      <c r="J948" t="s">
        <v>25</v>
      </c>
    </row>
    <row r="949" spans="1:10" x14ac:dyDescent="0.25">
      <c r="A949" t="s">
        <v>987</v>
      </c>
      <c r="B949" s="1">
        <v>45116</v>
      </c>
      <c r="C949" t="s">
        <v>23</v>
      </c>
      <c r="D949" t="s">
        <v>12</v>
      </c>
      <c r="E949" s="4">
        <v>4</v>
      </c>
      <c r="F949" s="4">
        <v>10000</v>
      </c>
      <c r="G949" s="4">
        <v>40000</v>
      </c>
      <c r="H949" t="s">
        <v>13</v>
      </c>
      <c r="I949" t="s">
        <v>62</v>
      </c>
      <c r="J949" t="s">
        <v>62</v>
      </c>
    </row>
    <row r="950" spans="1:10" x14ac:dyDescent="0.25">
      <c r="A950" t="s">
        <v>988</v>
      </c>
      <c r="B950" s="1">
        <v>45204</v>
      </c>
      <c r="C950" t="s">
        <v>75</v>
      </c>
      <c r="D950" t="s">
        <v>50</v>
      </c>
      <c r="E950" s="4">
        <v>2</v>
      </c>
      <c r="F950" s="4">
        <v>5000</v>
      </c>
      <c r="G950" s="4">
        <v>10000</v>
      </c>
      <c r="H950" t="s">
        <v>36</v>
      </c>
      <c r="I950" t="s">
        <v>14</v>
      </c>
      <c r="J950" t="s">
        <v>14</v>
      </c>
    </row>
    <row r="951" spans="1:10" x14ac:dyDescent="0.25">
      <c r="A951" t="s">
        <v>989</v>
      </c>
      <c r="B951" s="1">
        <v>45161</v>
      </c>
      <c r="C951" t="s">
        <v>35</v>
      </c>
      <c r="D951" t="s">
        <v>30</v>
      </c>
      <c r="E951" s="4">
        <v>1</v>
      </c>
      <c r="F951" s="4">
        <v>15000</v>
      </c>
      <c r="G951" s="4">
        <v>15000</v>
      </c>
      <c r="H951" t="s">
        <v>36</v>
      </c>
      <c r="I951" t="s">
        <v>25</v>
      </c>
      <c r="J951" t="s">
        <v>25</v>
      </c>
    </row>
    <row r="952" spans="1:10" x14ac:dyDescent="0.25">
      <c r="A952" t="s">
        <v>990</v>
      </c>
      <c r="B952" s="1">
        <v>45286</v>
      </c>
      <c r="C952" t="s">
        <v>68</v>
      </c>
      <c r="D952" t="s">
        <v>33</v>
      </c>
      <c r="E952" s="4">
        <v>5</v>
      </c>
      <c r="F952" s="4">
        <v>10000</v>
      </c>
      <c r="G952" s="4">
        <v>50000</v>
      </c>
      <c r="H952" t="s">
        <v>17</v>
      </c>
      <c r="I952" t="s">
        <v>25</v>
      </c>
      <c r="J952" t="s">
        <v>25</v>
      </c>
    </row>
    <row r="953" spans="1:10" x14ac:dyDescent="0.25">
      <c r="A953" t="s">
        <v>991</v>
      </c>
      <c r="B953" s="1">
        <v>45116</v>
      </c>
      <c r="C953" t="s">
        <v>23</v>
      </c>
      <c r="D953" t="s">
        <v>38</v>
      </c>
      <c r="E953" s="4">
        <v>2</v>
      </c>
      <c r="F953" s="4">
        <v>20000</v>
      </c>
      <c r="G953" s="4">
        <v>40000</v>
      </c>
      <c r="H953" t="s">
        <v>36</v>
      </c>
      <c r="I953" t="s">
        <v>18</v>
      </c>
      <c r="J953" t="s">
        <v>18</v>
      </c>
    </row>
    <row r="954" spans="1:10" x14ac:dyDescent="0.25">
      <c r="A954" t="s">
        <v>992</v>
      </c>
      <c r="B954" s="1">
        <v>45013</v>
      </c>
      <c r="C954" t="s">
        <v>68</v>
      </c>
      <c r="D954" t="s">
        <v>30</v>
      </c>
      <c r="E954" s="4">
        <v>4</v>
      </c>
      <c r="F954" s="4">
        <v>15000</v>
      </c>
      <c r="G954" s="4">
        <v>60000</v>
      </c>
      <c r="H954" t="s">
        <v>17</v>
      </c>
      <c r="I954" t="s">
        <v>14</v>
      </c>
      <c r="J954" t="s">
        <v>14</v>
      </c>
    </row>
    <row r="955" spans="1:10" x14ac:dyDescent="0.25">
      <c r="A955" t="s">
        <v>993</v>
      </c>
      <c r="B955" s="1">
        <v>45116</v>
      </c>
      <c r="C955" t="s">
        <v>55</v>
      </c>
      <c r="D955" t="s">
        <v>24</v>
      </c>
      <c r="E955" s="4">
        <v>5</v>
      </c>
      <c r="F955" s="4">
        <v>20000</v>
      </c>
      <c r="G955" s="4">
        <v>100000</v>
      </c>
      <c r="H955" t="s">
        <v>13</v>
      </c>
      <c r="I955" t="s">
        <v>62</v>
      </c>
      <c r="J955" t="s">
        <v>62</v>
      </c>
    </row>
    <row r="956" spans="1:10" x14ac:dyDescent="0.25">
      <c r="A956" t="s">
        <v>994</v>
      </c>
      <c r="B956" s="1">
        <v>44980</v>
      </c>
      <c r="C956" t="s">
        <v>11</v>
      </c>
      <c r="D956" t="s">
        <v>38</v>
      </c>
      <c r="E956" s="4">
        <v>3</v>
      </c>
      <c r="F956" s="4">
        <v>5000</v>
      </c>
      <c r="G956" s="4">
        <v>15000</v>
      </c>
      <c r="H956" t="s">
        <v>13</v>
      </c>
      <c r="I956" t="s">
        <v>27</v>
      </c>
      <c r="J956" t="s">
        <v>27</v>
      </c>
    </row>
    <row r="957" spans="1:10" x14ac:dyDescent="0.25">
      <c r="A957" t="s">
        <v>995</v>
      </c>
      <c r="B957" s="1">
        <v>45144</v>
      </c>
      <c r="C957" t="s">
        <v>42</v>
      </c>
      <c r="D957" t="s">
        <v>24</v>
      </c>
      <c r="E957" s="4">
        <v>2</v>
      </c>
      <c r="F957" s="4">
        <v>10000</v>
      </c>
      <c r="G957" s="4">
        <v>20000</v>
      </c>
      <c r="H957" t="s">
        <v>36</v>
      </c>
      <c r="I957" t="s">
        <v>14</v>
      </c>
      <c r="J957" t="s">
        <v>14</v>
      </c>
    </row>
    <row r="958" spans="1:10" x14ac:dyDescent="0.25">
      <c r="A958" t="s">
        <v>996</v>
      </c>
      <c r="B958" s="1">
        <v>45273</v>
      </c>
      <c r="C958" t="s">
        <v>29</v>
      </c>
      <c r="D958" t="s">
        <v>60</v>
      </c>
      <c r="E958" s="4">
        <v>5</v>
      </c>
      <c r="F958" s="4">
        <v>15000</v>
      </c>
      <c r="G958" s="4">
        <v>75000</v>
      </c>
      <c r="H958" t="s">
        <v>21</v>
      </c>
      <c r="I958" t="s">
        <v>18</v>
      </c>
      <c r="J958" t="s">
        <v>18</v>
      </c>
    </row>
    <row r="959" spans="1:10" x14ac:dyDescent="0.25">
      <c r="A959" t="s">
        <v>997</v>
      </c>
      <c r="B959" s="1">
        <v>45117</v>
      </c>
      <c r="C959" t="s">
        <v>66</v>
      </c>
      <c r="D959" t="s">
        <v>33</v>
      </c>
      <c r="E959" s="4">
        <v>5</v>
      </c>
      <c r="F959" s="4">
        <v>15000</v>
      </c>
      <c r="G959" s="4">
        <v>75000</v>
      </c>
      <c r="H959" t="s">
        <v>36</v>
      </c>
      <c r="I959" t="s">
        <v>14</v>
      </c>
      <c r="J959" t="s">
        <v>14</v>
      </c>
    </row>
    <row r="960" spans="1:10" x14ac:dyDescent="0.25">
      <c r="A960" t="s">
        <v>998</v>
      </c>
      <c r="B960" s="1">
        <v>45169</v>
      </c>
      <c r="C960" t="s">
        <v>23</v>
      </c>
      <c r="D960" t="s">
        <v>48</v>
      </c>
      <c r="E960" s="4">
        <v>3</v>
      </c>
      <c r="F960" s="4">
        <v>20000</v>
      </c>
      <c r="G960" s="4">
        <v>60000</v>
      </c>
      <c r="H960" t="s">
        <v>13</v>
      </c>
      <c r="I960" t="s">
        <v>25</v>
      </c>
      <c r="J960" t="s">
        <v>25</v>
      </c>
    </row>
    <row r="961" spans="1:10" x14ac:dyDescent="0.25">
      <c r="A961" t="s">
        <v>999</v>
      </c>
      <c r="B961" s="1">
        <v>45072</v>
      </c>
      <c r="C961" t="s">
        <v>68</v>
      </c>
      <c r="D961" t="s">
        <v>38</v>
      </c>
      <c r="E961" s="4">
        <v>5</v>
      </c>
      <c r="F961" s="4">
        <v>10000</v>
      </c>
      <c r="G961" s="4">
        <v>50000</v>
      </c>
      <c r="H961" t="s">
        <v>21</v>
      </c>
      <c r="I961" t="s">
        <v>18</v>
      </c>
      <c r="J961" t="s">
        <v>18</v>
      </c>
    </row>
    <row r="962" spans="1:10" x14ac:dyDescent="0.25">
      <c r="A962" t="s">
        <v>1000</v>
      </c>
      <c r="B962" s="1">
        <v>44979</v>
      </c>
      <c r="C962" t="s">
        <v>42</v>
      </c>
      <c r="D962" t="s">
        <v>30</v>
      </c>
      <c r="E962" s="4">
        <v>3</v>
      </c>
      <c r="F962" s="4">
        <v>10000</v>
      </c>
      <c r="G962" s="4">
        <v>30000</v>
      </c>
      <c r="H962" t="s">
        <v>17</v>
      </c>
      <c r="I962" t="s">
        <v>14</v>
      </c>
      <c r="J962" t="s">
        <v>14</v>
      </c>
    </row>
    <row r="963" spans="1:10" x14ac:dyDescent="0.25">
      <c r="A963" t="s">
        <v>1001</v>
      </c>
      <c r="B963" s="1">
        <v>45068</v>
      </c>
      <c r="C963" t="s">
        <v>16</v>
      </c>
      <c r="D963" t="s">
        <v>50</v>
      </c>
      <c r="E963" s="4">
        <v>3</v>
      </c>
      <c r="F963" s="4">
        <v>20000</v>
      </c>
      <c r="G963" s="4">
        <v>60000</v>
      </c>
      <c r="H963" t="s">
        <v>13</v>
      </c>
      <c r="I963" t="s">
        <v>27</v>
      </c>
      <c r="J963" t="s">
        <v>27</v>
      </c>
    </row>
    <row r="964" spans="1:10" x14ac:dyDescent="0.25">
      <c r="A964" t="s">
        <v>1002</v>
      </c>
      <c r="B964" s="1">
        <v>44927</v>
      </c>
      <c r="C964" t="s">
        <v>29</v>
      </c>
      <c r="D964" t="s">
        <v>44</v>
      </c>
      <c r="E964" s="4">
        <v>1</v>
      </c>
      <c r="F964" s="4">
        <v>5000</v>
      </c>
      <c r="G964" s="4">
        <v>5000</v>
      </c>
      <c r="H964" t="s">
        <v>36</v>
      </c>
      <c r="I964" t="s">
        <v>25</v>
      </c>
      <c r="J964" t="s">
        <v>25</v>
      </c>
    </row>
    <row r="965" spans="1:10" x14ac:dyDescent="0.25">
      <c r="A965" t="s">
        <v>1003</v>
      </c>
      <c r="B965" s="1">
        <v>45124</v>
      </c>
      <c r="C965" t="s">
        <v>23</v>
      </c>
      <c r="D965" t="s">
        <v>24</v>
      </c>
      <c r="E965" s="4">
        <v>3</v>
      </c>
      <c r="F965" s="4">
        <v>15000</v>
      </c>
      <c r="G965" s="4">
        <v>45000</v>
      </c>
      <c r="H965" t="s">
        <v>21</v>
      </c>
      <c r="I965" t="s">
        <v>18</v>
      </c>
      <c r="J965" t="s">
        <v>18</v>
      </c>
    </row>
    <row r="966" spans="1:10" x14ac:dyDescent="0.25">
      <c r="A966" t="s">
        <v>1004</v>
      </c>
      <c r="B966" s="1">
        <v>45291</v>
      </c>
      <c r="C966" t="s">
        <v>29</v>
      </c>
      <c r="D966" t="s">
        <v>20</v>
      </c>
      <c r="E966" s="4">
        <v>4</v>
      </c>
      <c r="F966" s="4">
        <v>15000</v>
      </c>
      <c r="G966" s="4">
        <v>60000</v>
      </c>
      <c r="H966" t="s">
        <v>36</v>
      </c>
      <c r="I966" t="s">
        <v>62</v>
      </c>
      <c r="J966" t="s">
        <v>62</v>
      </c>
    </row>
    <row r="967" spans="1:10" x14ac:dyDescent="0.25">
      <c r="A967" t="s">
        <v>1005</v>
      </c>
      <c r="B967" s="1">
        <v>45165</v>
      </c>
      <c r="C967" t="s">
        <v>66</v>
      </c>
      <c r="D967" t="s">
        <v>44</v>
      </c>
      <c r="E967" s="4">
        <v>3</v>
      </c>
      <c r="F967" s="4">
        <v>20000</v>
      </c>
      <c r="G967" s="4">
        <v>60000</v>
      </c>
      <c r="H967" t="s">
        <v>13</v>
      </c>
      <c r="I967" t="s">
        <v>27</v>
      </c>
      <c r="J967" t="s">
        <v>25</v>
      </c>
    </row>
    <row r="968" spans="1:10" x14ac:dyDescent="0.25">
      <c r="A968" t="s">
        <v>1006</v>
      </c>
      <c r="B968" s="1">
        <v>44929</v>
      </c>
      <c r="C968" t="s">
        <v>42</v>
      </c>
      <c r="D968" t="s">
        <v>50</v>
      </c>
      <c r="E968" s="4">
        <v>3</v>
      </c>
      <c r="F968" s="4">
        <v>15000</v>
      </c>
      <c r="G968" s="4">
        <v>45000</v>
      </c>
      <c r="H968" t="s">
        <v>21</v>
      </c>
      <c r="I968" t="s">
        <v>27</v>
      </c>
      <c r="J968" t="s">
        <v>62</v>
      </c>
    </row>
    <row r="969" spans="1:10" x14ac:dyDescent="0.25">
      <c r="A969" t="s">
        <v>1007</v>
      </c>
      <c r="B969" s="1">
        <v>44949</v>
      </c>
      <c r="C969" t="s">
        <v>75</v>
      </c>
      <c r="D969" t="s">
        <v>60</v>
      </c>
      <c r="E969" s="4">
        <v>3</v>
      </c>
      <c r="F969" s="4">
        <v>10000</v>
      </c>
      <c r="G969" s="4">
        <v>30000</v>
      </c>
      <c r="H969" t="s">
        <v>17</v>
      </c>
      <c r="I969" t="s">
        <v>25</v>
      </c>
      <c r="J969" t="s">
        <v>25</v>
      </c>
    </row>
    <row r="970" spans="1:10" x14ac:dyDescent="0.25">
      <c r="A970" t="s">
        <v>1008</v>
      </c>
      <c r="B970" s="1">
        <v>44980</v>
      </c>
      <c r="C970" t="s">
        <v>11</v>
      </c>
      <c r="D970" t="s">
        <v>48</v>
      </c>
      <c r="E970" s="4">
        <v>3</v>
      </c>
      <c r="F970" s="4">
        <v>5000</v>
      </c>
      <c r="G970" s="4">
        <v>15000</v>
      </c>
      <c r="H970" t="s">
        <v>13</v>
      </c>
      <c r="I970" t="s">
        <v>14</v>
      </c>
      <c r="J970" t="s">
        <v>14</v>
      </c>
    </row>
    <row r="971" spans="1:10" x14ac:dyDescent="0.25">
      <c r="A971" t="s">
        <v>1009</v>
      </c>
      <c r="B971" s="1">
        <v>45087</v>
      </c>
      <c r="C971" t="s">
        <v>29</v>
      </c>
      <c r="D971" t="s">
        <v>12</v>
      </c>
      <c r="E971" s="4">
        <v>5</v>
      </c>
      <c r="F971" s="4">
        <v>15000</v>
      </c>
      <c r="G971" s="4">
        <v>75000</v>
      </c>
      <c r="H971" t="s">
        <v>17</v>
      </c>
      <c r="I971" t="s">
        <v>62</v>
      </c>
      <c r="J971" t="s">
        <v>62</v>
      </c>
    </row>
    <row r="972" spans="1:10" x14ac:dyDescent="0.25">
      <c r="A972" t="s">
        <v>1010</v>
      </c>
      <c r="B972" s="1">
        <v>45114</v>
      </c>
      <c r="C972" t="s">
        <v>23</v>
      </c>
      <c r="D972" t="s">
        <v>33</v>
      </c>
      <c r="E972" s="4">
        <v>1</v>
      </c>
      <c r="F972" s="4">
        <v>10000</v>
      </c>
      <c r="G972" s="4">
        <v>10000</v>
      </c>
      <c r="H972" t="s">
        <v>36</v>
      </c>
      <c r="I972" t="s">
        <v>27</v>
      </c>
      <c r="J972" t="s">
        <v>27</v>
      </c>
    </row>
    <row r="973" spans="1:10" x14ac:dyDescent="0.25">
      <c r="A973" t="s">
        <v>1011</v>
      </c>
      <c r="B973" s="1">
        <v>44949</v>
      </c>
      <c r="C973" t="s">
        <v>29</v>
      </c>
      <c r="D973" t="s">
        <v>60</v>
      </c>
      <c r="E973" s="4">
        <v>5</v>
      </c>
      <c r="F973" s="4">
        <v>10000</v>
      </c>
      <c r="G973" s="4">
        <v>50000</v>
      </c>
      <c r="H973" t="s">
        <v>36</v>
      </c>
      <c r="I973" t="s">
        <v>27</v>
      </c>
      <c r="J973" t="s">
        <v>14</v>
      </c>
    </row>
    <row r="974" spans="1:10" x14ac:dyDescent="0.25">
      <c r="A974" t="s">
        <v>1012</v>
      </c>
      <c r="B974" s="1">
        <v>45101</v>
      </c>
      <c r="C974" t="s">
        <v>55</v>
      </c>
      <c r="D974" t="s">
        <v>24</v>
      </c>
      <c r="E974" s="4">
        <v>5</v>
      </c>
      <c r="F974" s="4">
        <v>12500</v>
      </c>
      <c r="G974" s="4">
        <v>62500</v>
      </c>
      <c r="H974" t="s">
        <v>17</v>
      </c>
      <c r="I974" t="s">
        <v>18</v>
      </c>
      <c r="J974" t="s">
        <v>18</v>
      </c>
    </row>
    <row r="975" spans="1:10" x14ac:dyDescent="0.25">
      <c r="A975" t="s">
        <v>1013</v>
      </c>
      <c r="B975" s="1">
        <v>45247</v>
      </c>
      <c r="C975" t="s">
        <v>55</v>
      </c>
      <c r="D975" t="s">
        <v>48</v>
      </c>
      <c r="E975" s="4">
        <v>2</v>
      </c>
      <c r="F975" s="4">
        <v>12500</v>
      </c>
      <c r="G975" s="4">
        <v>25000</v>
      </c>
      <c r="H975" t="s">
        <v>13</v>
      </c>
      <c r="I975" t="s">
        <v>62</v>
      </c>
      <c r="J975" t="s">
        <v>62</v>
      </c>
    </row>
    <row r="976" spans="1:10" x14ac:dyDescent="0.25">
      <c r="A976" t="s">
        <v>1014</v>
      </c>
      <c r="B976" s="1">
        <v>45024</v>
      </c>
      <c r="C976" t="s">
        <v>35</v>
      </c>
      <c r="D976" t="s">
        <v>20</v>
      </c>
      <c r="E976" s="4">
        <v>3</v>
      </c>
      <c r="F976" s="4">
        <v>5000</v>
      </c>
      <c r="G976" s="4">
        <v>15000</v>
      </c>
      <c r="H976" t="s">
        <v>21</v>
      </c>
      <c r="I976" t="s">
        <v>14</v>
      </c>
      <c r="J976" t="s">
        <v>14</v>
      </c>
    </row>
    <row r="977" spans="1:10" x14ac:dyDescent="0.25">
      <c r="A977" t="s">
        <v>1015</v>
      </c>
      <c r="B977" s="1">
        <v>45017</v>
      </c>
      <c r="C977" t="s">
        <v>55</v>
      </c>
      <c r="D977" t="s">
        <v>60</v>
      </c>
      <c r="E977" s="4">
        <v>3</v>
      </c>
      <c r="F977" s="4">
        <v>10000</v>
      </c>
      <c r="G977" s="4">
        <v>30000</v>
      </c>
      <c r="H977" t="s">
        <v>21</v>
      </c>
      <c r="I977" t="s">
        <v>27</v>
      </c>
      <c r="J977" t="s">
        <v>27</v>
      </c>
    </row>
    <row r="978" spans="1:10" x14ac:dyDescent="0.25">
      <c r="A978" t="s">
        <v>1016</v>
      </c>
      <c r="B978" s="1">
        <v>45278</v>
      </c>
      <c r="C978" t="s">
        <v>42</v>
      </c>
      <c r="D978" t="s">
        <v>20</v>
      </c>
      <c r="E978" s="4">
        <v>1</v>
      </c>
      <c r="F978" s="4">
        <v>12500</v>
      </c>
      <c r="G978" s="4">
        <v>12500</v>
      </c>
      <c r="H978" t="s">
        <v>36</v>
      </c>
      <c r="I978" t="s">
        <v>14</v>
      </c>
      <c r="J978" t="s">
        <v>14</v>
      </c>
    </row>
    <row r="979" spans="1:10" x14ac:dyDescent="0.25">
      <c r="A979" t="s">
        <v>1017</v>
      </c>
      <c r="B979" s="1">
        <v>45074</v>
      </c>
      <c r="C979" t="s">
        <v>42</v>
      </c>
      <c r="D979" t="s">
        <v>30</v>
      </c>
      <c r="E979" s="4">
        <v>3</v>
      </c>
      <c r="F979" s="4">
        <v>10000</v>
      </c>
      <c r="G979" s="4">
        <v>30000</v>
      </c>
      <c r="H979" t="s">
        <v>21</v>
      </c>
      <c r="I979" t="s">
        <v>27</v>
      </c>
      <c r="J979" t="s">
        <v>27</v>
      </c>
    </row>
    <row r="980" spans="1:10" x14ac:dyDescent="0.25">
      <c r="A980" t="s">
        <v>1018</v>
      </c>
      <c r="B980" s="1">
        <v>45264</v>
      </c>
      <c r="C980" t="s">
        <v>75</v>
      </c>
      <c r="D980" t="s">
        <v>20</v>
      </c>
      <c r="E980" s="4">
        <v>4</v>
      </c>
      <c r="F980" s="4">
        <v>10000</v>
      </c>
      <c r="G980" s="4">
        <v>40000</v>
      </c>
      <c r="H980" t="s">
        <v>21</v>
      </c>
      <c r="I980" t="s">
        <v>27</v>
      </c>
      <c r="J980" t="s">
        <v>62</v>
      </c>
    </row>
    <row r="981" spans="1:10" x14ac:dyDescent="0.25">
      <c r="A981" t="s">
        <v>1019</v>
      </c>
      <c r="B981" s="1">
        <v>45116</v>
      </c>
      <c r="C981" t="s">
        <v>11</v>
      </c>
      <c r="D981" t="s">
        <v>20</v>
      </c>
      <c r="E981" s="4">
        <v>4</v>
      </c>
      <c r="F981" s="4">
        <v>20000</v>
      </c>
      <c r="G981" s="4">
        <v>80000</v>
      </c>
      <c r="H981" t="s">
        <v>21</v>
      </c>
      <c r="I981" t="s">
        <v>27</v>
      </c>
      <c r="J981" t="s">
        <v>27</v>
      </c>
    </row>
    <row r="982" spans="1:10" x14ac:dyDescent="0.25">
      <c r="A982" t="s">
        <v>1020</v>
      </c>
      <c r="B982" s="1">
        <v>45242</v>
      </c>
      <c r="C982" t="s">
        <v>55</v>
      </c>
      <c r="D982" t="s">
        <v>24</v>
      </c>
      <c r="E982" s="4">
        <v>5</v>
      </c>
      <c r="F982" s="4">
        <v>15000</v>
      </c>
      <c r="G982" s="4">
        <v>75000</v>
      </c>
      <c r="H982" t="s">
        <v>36</v>
      </c>
      <c r="I982" t="s">
        <v>25</v>
      </c>
      <c r="J982" t="s">
        <v>25</v>
      </c>
    </row>
    <row r="983" spans="1:10" x14ac:dyDescent="0.25">
      <c r="A983" t="s">
        <v>1021</v>
      </c>
      <c r="B983" s="1">
        <v>45080</v>
      </c>
      <c r="C983" t="s">
        <v>68</v>
      </c>
      <c r="D983" t="s">
        <v>48</v>
      </c>
      <c r="E983" s="4">
        <v>2</v>
      </c>
      <c r="F983" s="4">
        <v>12500</v>
      </c>
      <c r="G983" s="4">
        <v>25000</v>
      </c>
      <c r="H983" t="s">
        <v>17</v>
      </c>
      <c r="I983" t="s">
        <v>25</v>
      </c>
      <c r="J983" t="s">
        <v>25</v>
      </c>
    </row>
    <row r="984" spans="1:10" x14ac:dyDescent="0.25">
      <c r="A984" t="s">
        <v>1022</v>
      </c>
      <c r="B984" s="1">
        <v>45080</v>
      </c>
      <c r="C984" t="s">
        <v>29</v>
      </c>
      <c r="D984" t="s">
        <v>50</v>
      </c>
      <c r="E984" s="4">
        <v>3</v>
      </c>
      <c r="F984" s="4">
        <v>15000</v>
      </c>
      <c r="G984" s="4">
        <v>45000</v>
      </c>
      <c r="H984" t="s">
        <v>13</v>
      </c>
      <c r="I984" t="s">
        <v>14</v>
      </c>
      <c r="J984" t="s">
        <v>14</v>
      </c>
    </row>
    <row r="985" spans="1:10" x14ac:dyDescent="0.25">
      <c r="A985" t="s">
        <v>1023</v>
      </c>
      <c r="B985" s="1">
        <v>45104</v>
      </c>
      <c r="C985" t="s">
        <v>16</v>
      </c>
      <c r="D985" t="s">
        <v>24</v>
      </c>
      <c r="E985" s="4">
        <v>4</v>
      </c>
      <c r="F985" s="4">
        <v>10000</v>
      </c>
      <c r="G985" s="4">
        <v>40000</v>
      </c>
      <c r="H985" t="s">
        <v>17</v>
      </c>
      <c r="I985" t="s">
        <v>14</v>
      </c>
      <c r="J985" t="s">
        <v>14</v>
      </c>
    </row>
    <row r="986" spans="1:10" x14ac:dyDescent="0.25">
      <c r="A986" t="s">
        <v>1024</v>
      </c>
      <c r="B986" s="1">
        <v>44973</v>
      </c>
      <c r="C986" t="s">
        <v>55</v>
      </c>
      <c r="D986" t="s">
        <v>30</v>
      </c>
      <c r="E986" s="4">
        <v>2</v>
      </c>
      <c r="F986" s="4">
        <v>10000</v>
      </c>
      <c r="G986" s="4">
        <v>20000</v>
      </c>
      <c r="H986" t="s">
        <v>21</v>
      </c>
      <c r="I986" t="s">
        <v>27</v>
      </c>
      <c r="J986" t="s">
        <v>27</v>
      </c>
    </row>
    <row r="987" spans="1:10" x14ac:dyDescent="0.25">
      <c r="A987" t="s">
        <v>1025</v>
      </c>
      <c r="B987" s="1">
        <v>45168</v>
      </c>
      <c r="C987" t="s">
        <v>11</v>
      </c>
      <c r="D987" t="s">
        <v>38</v>
      </c>
      <c r="E987" s="4">
        <v>4</v>
      </c>
      <c r="F987" s="4">
        <v>10000</v>
      </c>
      <c r="G987" s="4">
        <v>40000</v>
      </c>
      <c r="H987" t="s">
        <v>17</v>
      </c>
      <c r="I987" t="s">
        <v>25</v>
      </c>
      <c r="J987" t="s">
        <v>25</v>
      </c>
    </row>
    <row r="988" spans="1:10" x14ac:dyDescent="0.25">
      <c r="A988" t="s">
        <v>142</v>
      </c>
      <c r="B988" s="1">
        <v>45263</v>
      </c>
      <c r="C988" t="s">
        <v>66</v>
      </c>
      <c r="D988" t="s">
        <v>24</v>
      </c>
      <c r="E988" s="4">
        <v>2</v>
      </c>
      <c r="F988" s="4">
        <v>12500</v>
      </c>
      <c r="G988" s="4">
        <v>25000</v>
      </c>
      <c r="H988" t="s">
        <v>21</v>
      </c>
      <c r="I988" t="s">
        <v>18</v>
      </c>
      <c r="J988" t="s">
        <v>18</v>
      </c>
    </row>
    <row r="989" spans="1:10" x14ac:dyDescent="0.25">
      <c r="A989" t="s">
        <v>899</v>
      </c>
      <c r="B989" s="1">
        <v>45116</v>
      </c>
      <c r="C989" t="s">
        <v>35</v>
      </c>
      <c r="D989" t="s">
        <v>12</v>
      </c>
      <c r="E989" s="4">
        <v>1</v>
      </c>
      <c r="F989" s="4">
        <v>10000</v>
      </c>
      <c r="G989" s="4">
        <v>10000</v>
      </c>
      <c r="H989" t="s">
        <v>36</v>
      </c>
      <c r="I989" t="s">
        <v>14</v>
      </c>
      <c r="J989" t="s">
        <v>14</v>
      </c>
    </row>
    <row r="990" spans="1:10" x14ac:dyDescent="0.25">
      <c r="A990" t="s">
        <v>345</v>
      </c>
      <c r="B990" s="1">
        <v>45254</v>
      </c>
      <c r="C990" t="s">
        <v>29</v>
      </c>
      <c r="D990" t="s">
        <v>60</v>
      </c>
      <c r="E990" s="4">
        <v>5</v>
      </c>
      <c r="F990" s="4">
        <v>15000</v>
      </c>
      <c r="G990" s="4">
        <v>75000</v>
      </c>
      <c r="H990" t="s">
        <v>17</v>
      </c>
      <c r="I990" t="s">
        <v>27</v>
      </c>
      <c r="J990" t="s">
        <v>27</v>
      </c>
    </row>
    <row r="991" spans="1:10" x14ac:dyDescent="0.25">
      <c r="A991" t="s">
        <v>380</v>
      </c>
      <c r="B991" s="1">
        <v>45055</v>
      </c>
      <c r="C991" t="s">
        <v>68</v>
      </c>
      <c r="D991" t="s">
        <v>24</v>
      </c>
      <c r="E991" s="4">
        <v>1</v>
      </c>
      <c r="F991" s="4">
        <v>15000</v>
      </c>
      <c r="G991" s="4">
        <v>15000</v>
      </c>
      <c r="H991" t="s">
        <v>21</v>
      </c>
      <c r="I991" t="s">
        <v>25</v>
      </c>
      <c r="J991" t="s">
        <v>25</v>
      </c>
    </row>
    <row r="992" spans="1:10" x14ac:dyDescent="0.25">
      <c r="A992" t="s">
        <v>834</v>
      </c>
      <c r="B992" s="1">
        <v>45171</v>
      </c>
      <c r="C992" t="s">
        <v>23</v>
      </c>
      <c r="D992" t="s">
        <v>24</v>
      </c>
      <c r="E992" s="4">
        <v>1</v>
      </c>
      <c r="F992" s="4">
        <v>15000</v>
      </c>
      <c r="G992" s="4">
        <v>15000</v>
      </c>
      <c r="H992" t="s">
        <v>21</v>
      </c>
      <c r="I992" t="s">
        <v>14</v>
      </c>
      <c r="J992"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D354-C97D-48C5-9B3A-A4CCDCFFCB1A}">
  <dimension ref="A1:B23"/>
  <sheetViews>
    <sheetView workbookViewId="0">
      <selection activeCell="C48" sqref="C48"/>
    </sheetView>
  </sheetViews>
  <sheetFormatPr defaultRowHeight="15" x14ac:dyDescent="0.25"/>
  <cols>
    <col min="1" max="1" width="67.7109375" bestFit="1" customWidth="1"/>
  </cols>
  <sheetData>
    <row r="1" spans="1:2" x14ac:dyDescent="0.25">
      <c r="A1" s="14" t="s">
        <v>1050</v>
      </c>
      <c r="B1" s="15"/>
    </row>
    <row r="2" spans="1:2" x14ac:dyDescent="0.25">
      <c r="A2" s="15" t="s">
        <v>1051</v>
      </c>
      <c r="B2" s="15" t="s">
        <v>1068</v>
      </c>
    </row>
    <row r="3" spans="1:2" x14ac:dyDescent="0.25">
      <c r="A3" s="15" t="s">
        <v>1052</v>
      </c>
      <c r="B3" s="15" t="s">
        <v>1069</v>
      </c>
    </row>
    <row r="5" spans="1:2" x14ac:dyDescent="0.25">
      <c r="A5" s="14" t="s">
        <v>1053</v>
      </c>
      <c r="B5" s="15"/>
    </row>
    <row r="6" spans="1:2" x14ac:dyDescent="0.25">
      <c r="A6" s="15" t="s">
        <v>1054</v>
      </c>
      <c r="B6" s="15" t="s">
        <v>1070</v>
      </c>
    </row>
    <row r="7" spans="1:2" x14ac:dyDescent="0.25">
      <c r="A7" s="15" t="s">
        <v>1055</v>
      </c>
      <c r="B7" s="15" t="s">
        <v>1071</v>
      </c>
    </row>
    <row r="9" spans="1:2" x14ac:dyDescent="0.25">
      <c r="A9" s="14" t="s">
        <v>1056</v>
      </c>
      <c r="B9" s="15"/>
    </row>
    <row r="10" spans="1:2" x14ac:dyDescent="0.25">
      <c r="A10" s="15" t="s">
        <v>1057</v>
      </c>
      <c r="B10" s="15" t="s">
        <v>1072</v>
      </c>
    </row>
    <row r="11" spans="1:2" x14ac:dyDescent="0.25">
      <c r="A11" s="15" t="s">
        <v>1058</v>
      </c>
      <c r="B11" s="15" t="s">
        <v>1073</v>
      </c>
    </row>
    <row r="13" spans="1:2" x14ac:dyDescent="0.25">
      <c r="A13" s="14" t="s">
        <v>1059</v>
      </c>
      <c r="B13" s="15"/>
    </row>
    <row r="14" spans="1:2" x14ac:dyDescent="0.25">
      <c r="A14" s="15" t="s">
        <v>1060</v>
      </c>
      <c r="B14" s="15" t="s">
        <v>1074</v>
      </c>
    </row>
    <row r="15" spans="1:2" x14ac:dyDescent="0.25">
      <c r="A15" s="15" t="s">
        <v>1061</v>
      </c>
      <c r="B15" s="15" t="s">
        <v>1075</v>
      </c>
    </row>
    <row r="17" spans="1:2" x14ac:dyDescent="0.25">
      <c r="A17" s="14" t="s">
        <v>1062</v>
      </c>
      <c r="B17" s="15"/>
    </row>
    <row r="18" spans="1:2" x14ac:dyDescent="0.25">
      <c r="A18" s="16" t="s">
        <v>1063</v>
      </c>
      <c r="B18" s="15" t="s">
        <v>1078</v>
      </c>
    </row>
    <row r="19" spans="1:2" x14ac:dyDescent="0.25">
      <c r="A19" s="16" t="s">
        <v>1064</v>
      </c>
      <c r="B19" s="15" t="s">
        <v>1079</v>
      </c>
    </row>
    <row r="21" spans="1:2" x14ac:dyDescent="0.25">
      <c r="A21" s="14" t="s">
        <v>1067</v>
      </c>
      <c r="B21" s="15"/>
    </row>
    <row r="22" spans="1:2" x14ac:dyDescent="0.25">
      <c r="A22" s="16" t="s">
        <v>1065</v>
      </c>
      <c r="B22" s="15" t="s">
        <v>1080</v>
      </c>
    </row>
    <row r="23" spans="1:2" x14ac:dyDescent="0.25">
      <c r="A23" s="16" t="s">
        <v>1066</v>
      </c>
      <c r="B23" s="15" t="s">
        <v>1081</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CB193-CF7B-411C-8404-4BE288CFA0A2}">
  <dimension ref="A1:L42"/>
  <sheetViews>
    <sheetView workbookViewId="0">
      <selection activeCell="A37" sqref="A37"/>
    </sheetView>
  </sheetViews>
  <sheetFormatPr defaultRowHeight="15" x14ac:dyDescent="0.25"/>
  <cols>
    <col min="1" max="1" width="15.42578125" bestFit="1" customWidth="1"/>
    <col min="2" max="2" width="16.28515625" bestFit="1" customWidth="1"/>
    <col min="3" max="3" width="9" bestFit="1" customWidth="1"/>
    <col min="4" max="4" width="8" bestFit="1" customWidth="1"/>
    <col min="5" max="5" width="8.7109375" bestFit="1" customWidth="1"/>
    <col min="6" max="6" width="11.28515625" bestFit="1" customWidth="1"/>
    <col min="7" max="7" width="13.140625" bestFit="1" customWidth="1"/>
    <col min="8" max="9" width="12" bestFit="1" customWidth="1"/>
    <col min="11" max="11" width="14.42578125" bestFit="1" customWidth="1"/>
    <col min="12" max="12" width="15.42578125" bestFit="1" customWidth="1"/>
  </cols>
  <sheetData>
    <row r="1" spans="1:12" x14ac:dyDescent="0.25">
      <c r="A1" t="s">
        <v>1026</v>
      </c>
    </row>
    <row r="3" spans="1:12" x14ac:dyDescent="0.25">
      <c r="A3" t="s">
        <v>1028</v>
      </c>
      <c r="C3" t="s">
        <v>1029</v>
      </c>
      <c r="E3" t="s">
        <v>1030</v>
      </c>
      <c r="G3" t="s">
        <v>1032</v>
      </c>
    </row>
    <row r="4" spans="1:12" x14ac:dyDescent="0.25">
      <c r="A4" s="11">
        <v>37757500</v>
      </c>
      <c r="C4" s="2">
        <v>991</v>
      </c>
      <c r="E4" s="12">
        <f>GETPIVOTDATA("Total",$A$3)/GETPIVOTDATA("Transaction_ID",$C$3)</f>
        <v>38100.403632694251</v>
      </c>
      <c r="G4" s="3">
        <v>3.0524722502522703</v>
      </c>
    </row>
    <row r="6" spans="1:12" x14ac:dyDescent="0.25">
      <c r="A6" t="s">
        <v>1033</v>
      </c>
    </row>
    <row r="8" spans="1:12" x14ac:dyDescent="0.25">
      <c r="A8" s="5" t="s">
        <v>1034</v>
      </c>
      <c r="B8" t="s">
        <v>1027</v>
      </c>
      <c r="D8" s="5" t="s">
        <v>1034</v>
      </c>
      <c r="E8" t="s">
        <v>1027</v>
      </c>
      <c r="G8" s="5" t="s">
        <v>1034</v>
      </c>
      <c r="H8" t="s">
        <v>1027</v>
      </c>
      <c r="K8" s="5" t="s">
        <v>1034</v>
      </c>
      <c r="L8" t="s">
        <v>1031</v>
      </c>
    </row>
    <row r="9" spans="1:12" x14ac:dyDescent="0.25">
      <c r="A9" s="6" t="s">
        <v>1036</v>
      </c>
      <c r="B9" s="2">
        <v>2392500</v>
      </c>
      <c r="D9" s="7" t="s">
        <v>1049</v>
      </c>
      <c r="E9" s="2">
        <v>16900000</v>
      </c>
      <c r="G9" s="7" t="s">
        <v>32</v>
      </c>
      <c r="H9" s="2">
        <v>3545000</v>
      </c>
      <c r="K9" s="7" t="s">
        <v>38</v>
      </c>
      <c r="L9" s="2">
        <v>273</v>
      </c>
    </row>
    <row r="10" spans="1:12" x14ac:dyDescent="0.25">
      <c r="A10" s="6" t="s">
        <v>1037</v>
      </c>
      <c r="B10" s="2">
        <v>2685000</v>
      </c>
      <c r="D10" s="7" t="s">
        <v>30</v>
      </c>
      <c r="E10" s="2">
        <v>3642500</v>
      </c>
      <c r="G10" s="7" t="s">
        <v>23</v>
      </c>
      <c r="H10" s="2">
        <v>3797500</v>
      </c>
      <c r="K10" s="7" t="s">
        <v>50</v>
      </c>
      <c r="L10" s="2">
        <v>282</v>
      </c>
    </row>
    <row r="11" spans="1:12" x14ac:dyDescent="0.25">
      <c r="A11" s="6" t="s">
        <v>1038</v>
      </c>
      <c r="B11" s="2">
        <v>3035000</v>
      </c>
      <c r="D11" s="7" t="s">
        <v>20</v>
      </c>
      <c r="E11" s="2">
        <v>3625000</v>
      </c>
      <c r="G11" s="7" t="s">
        <v>11</v>
      </c>
      <c r="H11" s="2">
        <v>3252500</v>
      </c>
      <c r="K11" s="7" t="s">
        <v>33</v>
      </c>
      <c r="L11" s="2">
        <v>266</v>
      </c>
    </row>
    <row r="12" spans="1:12" x14ac:dyDescent="0.25">
      <c r="A12" s="6" t="s">
        <v>1039</v>
      </c>
      <c r="B12" s="2">
        <v>2425000</v>
      </c>
      <c r="D12" s="7" t="s">
        <v>38</v>
      </c>
      <c r="E12" s="2">
        <v>3507500</v>
      </c>
      <c r="G12" s="7" t="s">
        <v>16</v>
      </c>
      <c r="H12" s="2">
        <v>3230000</v>
      </c>
      <c r="K12" s="7" t="s">
        <v>48</v>
      </c>
      <c r="L12" s="2">
        <v>292</v>
      </c>
    </row>
    <row r="13" spans="1:12" x14ac:dyDescent="0.25">
      <c r="A13" s="6" t="s">
        <v>1040</v>
      </c>
      <c r="B13" s="2">
        <v>2852500</v>
      </c>
      <c r="D13" s="7" t="s">
        <v>48</v>
      </c>
      <c r="E13" s="2">
        <v>3400000</v>
      </c>
      <c r="G13" s="7" t="s">
        <v>35</v>
      </c>
      <c r="H13" s="2">
        <v>3242500</v>
      </c>
      <c r="K13" s="7" t="s">
        <v>1049</v>
      </c>
      <c r="L13" s="2">
        <v>1344</v>
      </c>
    </row>
    <row r="14" spans="1:12" x14ac:dyDescent="0.25">
      <c r="A14" s="6" t="s">
        <v>1041</v>
      </c>
      <c r="B14" s="2">
        <v>2725000</v>
      </c>
      <c r="D14" s="7" t="s">
        <v>33</v>
      </c>
      <c r="E14" s="2">
        <v>3350000</v>
      </c>
      <c r="G14" s="7" t="s">
        <v>66</v>
      </c>
      <c r="H14" s="2">
        <v>3425000</v>
      </c>
      <c r="K14" s="7" t="s">
        <v>20</v>
      </c>
      <c r="L14" s="2">
        <v>280</v>
      </c>
    </row>
    <row r="15" spans="1:12" x14ac:dyDescent="0.25">
      <c r="A15" s="6" t="s">
        <v>1042</v>
      </c>
      <c r="B15" s="2">
        <v>6777500</v>
      </c>
      <c r="D15" s="7" t="s">
        <v>50</v>
      </c>
      <c r="E15" s="2">
        <v>3332500</v>
      </c>
      <c r="G15" s="7" t="s">
        <v>68</v>
      </c>
      <c r="H15" s="2">
        <v>3342500</v>
      </c>
      <c r="K15" s="7" t="s">
        <v>30</v>
      </c>
      <c r="L15" s="2">
        <v>288</v>
      </c>
    </row>
    <row r="16" spans="1:12" x14ac:dyDescent="0.25">
      <c r="A16" s="6" t="s">
        <v>1043</v>
      </c>
      <c r="B16" s="2">
        <v>3310000</v>
      </c>
      <c r="D16" s="7" t="s">
        <v>1035</v>
      </c>
      <c r="E16" s="2">
        <v>37757500</v>
      </c>
      <c r="G16" s="7" t="s">
        <v>55</v>
      </c>
      <c r="H16" s="2">
        <v>3847500</v>
      </c>
      <c r="K16" s="7" t="s">
        <v>1035</v>
      </c>
      <c r="L16" s="2">
        <v>3025</v>
      </c>
    </row>
    <row r="17" spans="1:9" x14ac:dyDescent="0.25">
      <c r="A17" s="6" t="s">
        <v>1044</v>
      </c>
      <c r="B17" s="2">
        <v>2475000</v>
      </c>
      <c r="G17" s="7" t="s">
        <v>75</v>
      </c>
      <c r="H17" s="2">
        <v>3552500</v>
      </c>
    </row>
    <row r="18" spans="1:9" x14ac:dyDescent="0.25">
      <c r="A18" s="6" t="s">
        <v>1045</v>
      </c>
      <c r="B18" s="2">
        <v>3070000</v>
      </c>
      <c r="G18" s="7" t="s">
        <v>29</v>
      </c>
      <c r="H18" s="2">
        <v>3787500</v>
      </c>
    </row>
    <row r="19" spans="1:9" x14ac:dyDescent="0.25">
      <c r="A19" s="6" t="s">
        <v>1046</v>
      </c>
      <c r="B19" s="2">
        <v>2847500</v>
      </c>
      <c r="G19" s="7" t="s">
        <v>1035</v>
      </c>
      <c r="H19" s="2">
        <v>35022500</v>
      </c>
    </row>
    <row r="20" spans="1:9" x14ac:dyDescent="0.25">
      <c r="A20" s="6" t="s">
        <v>1047</v>
      </c>
      <c r="B20" s="2">
        <v>3162500</v>
      </c>
    </row>
    <row r="21" spans="1:9" x14ac:dyDescent="0.25">
      <c r="A21" s="6" t="s">
        <v>1035</v>
      </c>
      <c r="B21" s="2">
        <v>37757500</v>
      </c>
    </row>
    <row r="27" spans="1:9" x14ac:dyDescent="0.25">
      <c r="A27" s="5" t="s">
        <v>1027</v>
      </c>
      <c r="B27" s="5" t="s">
        <v>1048</v>
      </c>
      <c r="H27" s="5" t="s">
        <v>1034</v>
      </c>
      <c r="I27" t="s">
        <v>1027</v>
      </c>
    </row>
    <row r="28" spans="1:9" x14ac:dyDescent="0.25">
      <c r="A28" s="5" t="s">
        <v>1034</v>
      </c>
      <c r="B28" t="s">
        <v>17</v>
      </c>
      <c r="C28" t="s">
        <v>21</v>
      </c>
      <c r="D28" t="s">
        <v>13</v>
      </c>
      <c r="E28" t="s">
        <v>36</v>
      </c>
      <c r="F28" t="s">
        <v>1035</v>
      </c>
      <c r="H28" s="7" t="s">
        <v>14</v>
      </c>
      <c r="I28" s="2">
        <v>7157500</v>
      </c>
    </row>
    <row r="29" spans="1:9" x14ac:dyDescent="0.25">
      <c r="A29" s="7" t="s">
        <v>14</v>
      </c>
      <c r="B29" s="2">
        <v>1482500</v>
      </c>
      <c r="C29" s="2">
        <v>1590000</v>
      </c>
      <c r="D29" s="2">
        <v>1482500</v>
      </c>
      <c r="E29" s="2">
        <v>2232500</v>
      </c>
      <c r="F29" s="2">
        <v>6787500</v>
      </c>
      <c r="H29" s="7" t="s">
        <v>27</v>
      </c>
      <c r="I29" s="2">
        <v>8677500</v>
      </c>
    </row>
    <row r="30" spans="1:9" x14ac:dyDescent="0.25">
      <c r="A30" s="7" t="s">
        <v>27</v>
      </c>
      <c r="B30" s="2">
        <v>2072500</v>
      </c>
      <c r="C30" s="2">
        <v>3230000</v>
      </c>
      <c r="D30" s="2">
        <v>2767500</v>
      </c>
      <c r="E30" s="2">
        <v>2030000</v>
      </c>
      <c r="F30" s="2">
        <v>10100000</v>
      </c>
      <c r="H30" s="7" t="s">
        <v>25</v>
      </c>
      <c r="I30" s="2">
        <v>7417500</v>
      </c>
    </row>
    <row r="31" spans="1:9" x14ac:dyDescent="0.25">
      <c r="A31" s="7" t="s">
        <v>25</v>
      </c>
      <c r="B31" s="2">
        <v>1777500</v>
      </c>
      <c r="C31" s="2">
        <v>1950000</v>
      </c>
      <c r="D31" s="2">
        <v>1395000</v>
      </c>
      <c r="E31" s="2">
        <v>1837500</v>
      </c>
      <c r="F31" s="2">
        <v>6960000</v>
      </c>
      <c r="H31" s="7" t="s">
        <v>62</v>
      </c>
      <c r="I31" s="2">
        <v>7137500</v>
      </c>
    </row>
    <row r="32" spans="1:9" x14ac:dyDescent="0.25">
      <c r="A32" s="7" t="s">
        <v>62</v>
      </c>
      <c r="B32" s="2">
        <v>1585000</v>
      </c>
      <c r="C32" s="2">
        <v>1580000</v>
      </c>
      <c r="D32" s="2">
        <v>2205000</v>
      </c>
      <c r="E32" s="2">
        <v>1532500</v>
      </c>
      <c r="F32" s="2">
        <v>6902500</v>
      </c>
      <c r="H32" s="7" t="s">
        <v>18</v>
      </c>
      <c r="I32" s="2">
        <v>7367500</v>
      </c>
    </row>
    <row r="33" spans="1:9" x14ac:dyDescent="0.25">
      <c r="A33" s="7" t="s">
        <v>18</v>
      </c>
      <c r="B33" s="2">
        <v>1495000</v>
      </c>
      <c r="C33" s="2">
        <v>1855000</v>
      </c>
      <c r="D33" s="2">
        <v>1547500</v>
      </c>
      <c r="E33" s="2">
        <v>2110000</v>
      </c>
      <c r="F33" s="2">
        <v>7007500</v>
      </c>
      <c r="H33" s="7" t="s">
        <v>1035</v>
      </c>
      <c r="I33" s="2">
        <v>37757500</v>
      </c>
    </row>
    <row r="34" spans="1:9" x14ac:dyDescent="0.25">
      <c r="A34" s="7" t="s">
        <v>1035</v>
      </c>
      <c r="B34" s="2">
        <v>8412500</v>
      </c>
      <c r="C34" s="2">
        <v>10205000</v>
      </c>
      <c r="D34" s="2">
        <v>9397500</v>
      </c>
      <c r="E34" s="2">
        <v>9742500</v>
      </c>
      <c r="F34" s="2">
        <v>37757500</v>
      </c>
    </row>
    <row r="37" spans="1:9" x14ac:dyDescent="0.25">
      <c r="A37" s="5" t="s">
        <v>1034</v>
      </c>
      <c r="B37" t="s">
        <v>1076</v>
      </c>
      <c r="C37" t="s">
        <v>1077</v>
      </c>
    </row>
    <row r="38" spans="1:9" x14ac:dyDescent="0.25">
      <c r="A38" s="7" t="s">
        <v>17</v>
      </c>
      <c r="B38" s="2">
        <v>221</v>
      </c>
      <c r="C38" s="17">
        <v>0.22300706357214933</v>
      </c>
    </row>
    <row r="39" spans="1:9" x14ac:dyDescent="0.25">
      <c r="A39" s="7" t="s">
        <v>21</v>
      </c>
      <c r="B39" s="2">
        <v>268</v>
      </c>
      <c r="C39" s="17">
        <v>0.27043390514631688</v>
      </c>
    </row>
    <row r="40" spans="1:9" x14ac:dyDescent="0.25">
      <c r="A40" s="7" t="s">
        <v>13</v>
      </c>
      <c r="B40" s="2">
        <v>245</v>
      </c>
      <c r="C40" s="17">
        <v>0.2472250252270434</v>
      </c>
    </row>
    <row r="41" spans="1:9" x14ac:dyDescent="0.25">
      <c r="A41" s="7" t="s">
        <v>36</v>
      </c>
      <c r="B41" s="2">
        <v>257</v>
      </c>
      <c r="C41" s="17">
        <v>0.25933400605449042</v>
      </c>
    </row>
    <row r="42" spans="1:9" x14ac:dyDescent="0.25">
      <c r="A42" s="7" t="s">
        <v>1035</v>
      </c>
      <c r="B42" s="2">
        <v>991</v>
      </c>
      <c r="C42"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15494-2576-4A03-89DC-BF5B34978D0D}">
  <dimension ref="A20:Y29"/>
  <sheetViews>
    <sheetView zoomScale="70" zoomScaleNormal="70" workbookViewId="0"/>
  </sheetViews>
  <sheetFormatPr defaultRowHeight="15" x14ac:dyDescent="0.25"/>
  <cols>
    <col min="4" max="16384" width="9.140625" style="9"/>
  </cols>
  <sheetData>
    <row r="20" spans="20:25" x14ac:dyDescent="0.25">
      <c r="T20" s="8"/>
      <c r="U20" s="8"/>
      <c r="V20" s="8"/>
      <c r="W20" s="8"/>
      <c r="X20" s="8"/>
      <c r="Y20" s="8"/>
    </row>
    <row r="21" spans="20:25" x14ac:dyDescent="0.25">
      <c r="T21" s="8"/>
      <c r="U21" s="8"/>
      <c r="V21" s="8"/>
      <c r="W21" s="8"/>
      <c r="X21" s="8"/>
      <c r="Y21" s="8"/>
    </row>
    <row r="22" spans="20:25" x14ac:dyDescent="0.25">
      <c r="T22" s="8"/>
      <c r="U22" s="8"/>
      <c r="V22" s="8"/>
      <c r="W22" s="8"/>
      <c r="X22" s="8"/>
      <c r="Y22" s="8"/>
    </row>
    <row r="23" spans="20:25" x14ac:dyDescent="0.25">
      <c r="T23" s="8"/>
      <c r="U23" s="8"/>
      <c r="V23" s="8"/>
      <c r="W23" s="8"/>
      <c r="X23" s="8"/>
      <c r="Y23" s="8"/>
    </row>
    <row r="24" spans="20:25" x14ac:dyDescent="0.25">
      <c r="T24" s="8"/>
      <c r="U24" s="8"/>
      <c r="V24" s="8"/>
      <c r="W24" s="8"/>
      <c r="X24" s="8"/>
      <c r="Y24" s="8"/>
    </row>
    <row r="25" spans="20:25" x14ac:dyDescent="0.25">
      <c r="T25" s="8"/>
      <c r="U25" s="8"/>
      <c r="V25" s="8"/>
      <c r="W25" s="8"/>
      <c r="X25" s="8"/>
      <c r="Y25" s="8"/>
    </row>
    <row r="26" spans="20:25" x14ac:dyDescent="0.25">
      <c r="T26" s="8"/>
      <c r="U26" s="8"/>
      <c r="V26" s="8"/>
      <c r="W26" s="8"/>
      <c r="X26" s="8"/>
      <c r="Y26" s="8"/>
    </row>
    <row r="27" spans="20:25" x14ac:dyDescent="0.25">
      <c r="T27" s="8"/>
      <c r="U27" s="8"/>
      <c r="V27" s="8"/>
      <c r="W27" s="8"/>
      <c r="X27" s="8"/>
      <c r="Y27" s="8"/>
    </row>
    <row r="28" spans="20:25" x14ac:dyDescent="0.25">
      <c r="T28" s="8"/>
      <c r="U28" s="8"/>
      <c r="V28" s="8"/>
      <c r="W28" s="8"/>
      <c r="X28" s="8"/>
      <c r="Y28" s="8"/>
    </row>
    <row r="29" spans="20:25" x14ac:dyDescent="0.25">
      <c r="T29" s="8"/>
      <c r="U29" s="8"/>
      <c r="V29" s="8"/>
      <c r="W29" s="8"/>
      <c r="X29" s="8"/>
      <c r="Y29" s="8"/>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54EB9-AFB5-478E-939D-214A6BA0B09C}">
  <dimension ref="A1:V53"/>
  <sheetViews>
    <sheetView zoomScale="70" zoomScaleNormal="70" workbookViewId="0"/>
  </sheetViews>
  <sheetFormatPr defaultRowHeight="15" x14ac:dyDescent="0.25"/>
  <cols>
    <col min="1" max="16384" width="9.140625" style="9"/>
  </cols>
  <sheetData>
    <row r="1" spans="1:22" x14ac:dyDescent="0.25">
      <c r="A1" s="13"/>
      <c r="B1" s="13"/>
      <c r="C1" s="13"/>
      <c r="D1" s="8"/>
      <c r="E1" s="8"/>
      <c r="F1" s="8"/>
      <c r="G1" s="8"/>
      <c r="H1" s="8"/>
      <c r="I1" s="8"/>
      <c r="J1" s="8"/>
      <c r="K1" s="8"/>
      <c r="L1" s="8"/>
      <c r="M1" s="8"/>
      <c r="N1" s="8"/>
      <c r="O1" s="8"/>
      <c r="P1" s="8"/>
      <c r="Q1" s="8"/>
      <c r="R1" s="8"/>
      <c r="S1" s="8"/>
      <c r="T1" s="8"/>
      <c r="U1" s="8"/>
      <c r="V1" s="8"/>
    </row>
    <row r="2" spans="1:22" x14ac:dyDescent="0.25">
      <c r="A2" s="13"/>
      <c r="B2" s="13"/>
      <c r="C2" s="13"/>
      <c r="D2" s="8"/>
      <c r="E2" s="8"/>
      <c r="F2" s="8"/>
      <c r="G2" s="8"/>
      <c r="H2" s="8"/>
      <c r="I2" s="8"/>
      <c r="J2" s="8"/>
      <c r="K2" s="8"/>
      <c r="L2" s="8"/>
      <c r="M2" s="8"/>
      <c r="N2" s="8"/>
      <c r="O2" s="8"/>
      <c r="P2" s="8"/>
      <c r="Q2" s="8"/>
      <c r="R2" s="8"/>
      <c r="S2" s="8"/>
      <c r="T2" s="8"/>
      <c r="U2" s="8"/>
      <c r="V2" s="8"/>
    </row>
    <row r="3" spans="1:22" x14ac:dyDescent="0.25">
      <c r="A3" s="13"/>
      <c r="B3" s="13"/>
      <c r="C3" s="13"/>
      <c r="D3" s="8"/>
      <c r="E3" s="8"/>
      <c r="F3" s="8"/>
      <c r="G3" s="8"/>
      <c r="H3" s="8"/>
      <c r="I3" s="8"/>
      <c r="J3" s="8"/>
      <c r="K3" s="8"/>
      <c r="L3" s="8"/>
      <c r="M3" s="8"/>
      <c r="N3" s="8"/>
      <c r="O3" s="8"/>
      <c r="P3" s="8"/>
      <c r="Q3" s="8"/>
      <c r="R3" s="8"/>
      <c r="S3" s="8"/>
      <c r="T3" s="8"/>
      <c r="U3" s="8"/>
      <c r="V3" s="8"/>
    </row>
    <row r="4" spans="1:22" x14ac:dyDescent="0.25">
      <c r="A4" s="13"/>
      <c r="B4" s="13"/>
      <c r="C4" s="13"/>
      <c r="D4" s="10"/>
      <c r="E4" s="10"/>
      <c r="F4" s="10"/>
      <c r="G4" s="10"/>
      <c r="H4" s="10"/>
      <c r="I4" s="10"/>
      <c r="J4" s="10"/>
      <c r="K4" s="10"/>
      <c r="L4" s="10"/>
      <c r="M4" s="10"/>
      <c r="N4" s="10"/>
      <c r="O4" s="10"/>
      <c r="P4" s="10"/>
      <c r="Q4" s="10"/>
      <c r="R4" s="10"/>
      <c r="S4" s="10"/>
      <c r="T4" s="10"/>
      <c r="U4" s="10"/>
      <c r="V4" s="10"/>
    </row>
    <row r="5" spans="1:22" x14ac:dyDescent="0.25">
      <c r="A5" s="13"/>
      <c r="B5" s="13"/>
      <c r="C5" s="13"/>
      <c r="D5" s="10"/>
      <c r="E5" s="10"/>
      <c r="F5" s="10"/>
      <c r="G5" s="10"/>
      <c r="H5" s="10"/>
      <c r="I5" s="10"/>
      <c r="J5" s="10"/>
      <c r="K5" s="10"/>
      <c r="L5" s="10"/>
      <c r="M5" s="10"/>
      <c r="N5" s="10"/>
      <c r="O5" s="10"/>
      <c r="P5" s="10"/>
      <c r="Q5" s="10"/>
      <c r="R5" s="10"/>
      <c r="S5" s="10"/>
      <c r="T5" s="10"/>
      <c r="U5" s="10"/>
      <c r="V5" s="10"/>
    </row>
    <row r="6" spans="1:22" x14ac:dyDescent="0.25">
      <c r="A6" s="13"/>
      <c r="B6" s="13"/>
      <c r="C6" s="13"/>
      <c r="D6" s="10"/>
      <c r="E6" s="10"/>
      <c r="F6" s="10"/>
      <c r="G6" s="10"/>
      <c r="H6" s="10"/>
      <c r="I6" s="10"/>
      <c r="J6" s="10"/>
      <c r="K6" s="10"/>
      <c r="L6" s="10"/>
      <c r="M6" s="10"/>
      <c r="N6" s="10"/>
      <c r="O6" s="10"/>
      <c r="P6" s="10"/>
      <c r="Q6" s="10"/>
      <c r="R6" s="10"/>
      <c r="S6" s="10"/>
      <c r="T6" s="10"/>
      <c r="U6" s="10"/>
      <c r="V6" s="10"/>
    </row>
    <row r="7" spans="1:22" x14ac:dyDescent="0.25">
      <c r="A7" s="13"/>
      <c r="B7" s="13"/>
      <c r="C7" s="13"/>
      <c r="D7" s="10"/>
      <c r="E7" s="10"/>
      <c r="F7" s="10"/>
      <c r="G7" s="10"/>
      <c r="H7" s="10"/>
      <c r="I7" s="10"/>
      <c r="J7" s="10"/>
      <c r="K7" s="10"/>
      <c r="L7" s="10"/>
      <c r="M7" s="10"/>
      <c r="N7" s="10"/>
      <c r="O7" s="10"/>
      <c r="P7" s="10"/>
      <c r="Q7" s="10"/>
      <c r="R7" s="10"/>
      <c r="S7" s="10"/>
      <c r="T7" s="10"/>
      <c r="U7" s="10"/>
      <c r="V7" s="10"/>
    </row>
    <row r="8" spans="1:22" x14ac:dyDescent="0.25">
      <c r="A8" s="13"/>
      <c r="B8" s="13"/>
      <c r="C8" s="13"/>
      <c r="D8" s="10"/>
      <c r="E8" s="10"/>
      <c r="F8" s="10"/>
      <c r="G8" s="10"/>
      <c r="H8" s="10"/>
      <c r="I8" s="10"/>
      <c r="J8" s="10"/>
      <c r="K8" s="10"/>
      <c r="L8" s="10"/>
      <c r="M8" s="10"/>
      <c r="N8" s="10"/>
      <c r="O8" s="10"/>
      <c r="P8" s="10"/>
      <c r="Q8" s="10"/>
      <c r="R8" s="10"/>
      <c r="S8" s="10"/>
      <c r="T8" s="10"/>
      <c r="U8" s="10"/>
      <c r="V8" s="10"/>
    </row>
    <row r="9" spans="1:22" x14ac:dyDescent="0.25">
      <c r="A9" s="13"/>
      <c r="B9" s="13"/>
      <c r="C9" s="13"/>
      <c r="D9" s="10"/>
      <c r="E9" s="10"/>
      <c r="F9" s="10"/>
      <c r="G9" s="10"/>
      <c r="H9" s="10"/>
      <c r="I9" s="10"/>
      <c r="J9" s="10"/>
      <c r="K9" s="10"/>
      <c r="L9" s="10"/>
      <c r="M9" s="10"/>
      <c r="N9" s="10"/>
      <c r="O9" s="10"/>
      <c r="P9" s="10"/>
      <c r="Q9" s="10"/>
      <c r="R9" s="10"/>
      <c r="S9" s="10"/>
      <c r="T9" s="10"/>
      <c r="U9" s="10"/>
      <c r="V9" s="10"/>
    </row>
    <row r="10" spans="1:22" x14ac:dyDescent="0.25">
      <c r="A10" s="13"/>
      <c r="B10" s="13"/>
      <c r="C10" s="13"/>
      <c r="D10" s="8"/>
      <c r="E10" s="8"/>
      <c r="F10" s="8"/>
      <c r="G10" s="8"/>
      <c r="H10" s="8"/>
      <c r="I10" s="8"/>
      <c r="J10" s="8"/>
      <c r="K10" s="8"/>
      <c r="L10" s="8"/>
      <c r="M10" s="8"/>
      <c r="N10" s="8"/>
      <c r="O10" s="8"/>
      <c r="P10" s="8"/>
      <c r="Q10" s="8"/>
      <c r="R10" s="8"/>
      <c r="S10" s="8"/>
      <c r="T10" s="8"/>
      <c r="U10" s="8"/>
      <c r="V10" s="8"/>
    </row>
    <row r="11" spans="1:22" x14ac:dyDescent="0.25">
      <c r="A11" s="13"/>
      <c r="B11" s="13"/>
      <c r="C11" s="13"/>
      <c r="D11" s="8"/>
      <c r="E11" s="8"/>
      <c r="F11" s="8"/>
      <c r="G11" s="8"/>
      <c r="H11" s="8"/>
      <c r="I11" s="8"/>
      <c r="J11" s="8"/>
      <c r="K11" s="8"/>
      <c r="L11" s="8"/>
      <c r="M11" s="8"/>
      <c r="N11" s="8"/>
      <c r="O11" s="8"/>
      <c r="P11" s="8"/>
      <c r="Q11" s="8"/>
      <c r="R11" s="8"/>
      <c r="S11" s="8"/>
      <c r="T11" s="8"/>
      <c r="U11" s="8"/>
      <c r="V11" s="8"/>
    </row>
    <row r="12" spans="1:22" x14ac:dyDescent="0.25">
      <c r="A12" s="13"/>
      <c r="B12" s="13"/>
      <c r="C12" s="13"/>
      <c r="D12" s="8"/>
      <c r="E12" s="8"/>
      <c r="F12" s="8"/>
      <c r="G12" s="8"/>
      <c r="H12" s="8"/>
      <c r="I12" s="8"/>
      <c r="J12" s="8"/>
      <c r="K12" s="8"/>
      <c r="L12" s="8"/>
      <c r="M12" s="8"/>
      <c r="N12" s="8"/>
      <c r="O12" s="8"/>
      <c r="P12" s="8"/>
      <c r="Q12" s="8"/>
      <c r="R12" s="8"/>
      <c r="S12" s="8"/>
      <c r="T12" s="8"/>
      <c r="U12" s="8"/>
      <c r="V12" s="8"/>
    </row>
    <row r="13" spans="1:22" x14ac:dyDescent="0.25">
      <c r="A13" s="13"/>
      <c r="B13" s="13"/>
      <c r="C13" s="13"/>
      <c r="D13" s="8"/>
      <c r="E13" s="8"/>
      <c r="F13" s="8"/>
      <c r="G13" s="8"/>
      <c r="H13" s="8"/>
      <c r="I13" s="8"/>
      <c r="J13" s="8"/>
      <c r="K13" s="8"/>
      <c r="L13" s="8"/>
      <c r="M13" s="8"/>
      <c r="N13" s="8"/>
      <c r="O13" s="8"/>
      <c r="P13" s="8"/>
      <c r="Q13" s="8"/>
      <c r="R13" s="8"/>
      <c r="S13" s="8"/>
      <c r="T13" s="8"/>
      <c r="U13" s="8"/>
      <c r="V13" s="8"/>
    </row>
    <row r="14" spans="1:22" x14ac:dyDescent="0.25">
      <c r="A14" s="13"/>
      <c r="B14" s="13"/>
      <c r="C14" s="13"/>
      <c r="D14" s="8"/>
      <c r="E14" s="8"/>
      <c r="F14" s="8"/>
      <c r="G14" s="8"/>
      <c r="H14" s="8"/>
      <c r="I14" s="8"/>
      <c r="J14" s="8"/>
      <c r="K14" s="8"/>
      <c r="L14" s="8"/>
      <c r="M14" s="8"/>
      <c r="N14" s="8"/>
      <c r="O14" s="8"/>
      <c r="P14" s="8"/>
      <c r="Q14" s="8"/>
      <c r="R14" s="8"/>
      <c r="S14" s="8"/>
      <c r="T14" s="8"/>
      <c r="U14" s="8"/>
      <c r="V14" s="8"/>
    </row>
    <row r="15" spans="1:22" x14ac:dyDescent="0.25">
      <c r="A15" s="13"/>
      <c r="B15" s="13"/>
      <c r="C15" s="13"/>
      <c r="D15" s="8"/>
      <c r="E15" s="8"/>
      <c r="F15" s="8"/>
      <c r="G15" s="8"/>
      <c r="H15" s="8"/>
      <c r="I15" s="8"/>
      <c r="J15" s="8"/>
      <c r="K15" s="8"/>
      <c r="L15" s="8"/>
      <c r="M15" s="8"/>
      <c r="N15" s="8"/>
      <c r="O15" s="8"/>
      <c r="P15" s="8"/>
      <c r="Q15" s="8"/>
      <c r="R15" s="8"/>
      <c r="S15" s="8"/>
      <c r="T15" s="8"/>
      <c r="U15" s="8"/>
      <c r="V15" s="8"/>
    </row>
    <row r="16" spans="1:22" x14ac:dyDescent="0.25">
      <c r="A16" s="13"/>
      <c r="B16" s="13"/>
      <c r="C16" s="13"/>
      <c r="D16" s="8"/>
      <c r="E16" s="8"/>
      <c r="F16" s="8"/>
      <c r="G16" s="8"/>
      <c r="H16" s="8"/>
      <c r="I16" s="8"/>
      <c r="J16" s="8"/>
      <c r="K16" s="8"/>
      <c r="L16" s="8"/>
      <c r="M16" s="8"/>
      <c r="N16" s="8"/>
      <c r="O16" s="8"/>
      <c r="P16" s="8"/>
      <c r="Q16" s="8"/>
      <c r="R16" s="8"/>
      <c r="S16" s="8"/>
      <c r="T16" s="8"/>
      <c r="U16" s="8"/>
      <c r="V16" s="8"/>
    </row>
    <row r="17" spans="1:22" x14ac:dyDescent="0.25">
      <c r="A17" s="13"/>
      <c r="B17" s="13"/>
      <c r="C17" s="13"/>
      <c r="D17" s="8"/>
      <c r="E17" s="8"/>
      <c r="F17" s="8"/>
      <c r="G17" s="8"/>
      <c r="H17" s="8"/>
      <c r="I17" s="8"/>
      <c r="J17" s="8"/>
      <c r="K17" s="8"/>
      <c r="L17" s="8"/>
      <c r="M17" s="8"/>
      <c r="N17" s="8"/>
      <c r="O17" s="8"/>
      <c r="P17" s="8"/>
      <c r="Q17" s="8"/>
      <c r="R17" s="8"/>
      <c r="S17" s="8"/>
      <c r="T17" s="8"/>
      <c r="U17" s="8"/>
      <c r="V17" s="8"/>
    </row>
    <row r="18" spans="1:22" x14ac:dyDescent="0.25">
      <c r="A18" s="13"/>
      <c r="B18" s="13"/>
      <c r="C18" s="13"/>
      <c r="D18" s="8"/>
      <c r="E18" s="8"/>
      <c r="F18" s="8"/>
      <c r="G18" s="8"/>
      <c r="H18" s="8"/>
      <c r="I18" s="8"/>
      <c r="J18" s="8"/>
      <c r="K18" s="8"/>
      <c r="L18" s="8"/>
      <c r="M18" s="8"/>
      <c r="N18" s="8"/>
      <c r="O18" s="8"/>
      <c r="P18" s="8"/>
      <c r="Q18" s="8"/>
      <c r="R18" s="8"/>
      <c r="S18" s="8"/>
      <c r="T18" s="8"/>
      <c r="U18" s="8"/>
      <c r="V18" s="8"/>
    </row>
    <row r="19" spans="1:22" x14ac:dyDescent="0.25">
      <c r="A19" s="13"/>
      <c r="B19" s="13"/>
      <c r="C19" s="13"/>
      <c r="D19" s="8"/>
      <c r="E19" s="8"/>
      <c r="F19" s="8"/>
      <c r="G19" s="8"/>
      <c r="H19" s="8"/>
      <c r="I19" s="8"/>
      <c r="J19" s="8"/>
      <c r="K19" s="8"/>
      <c r="L19" s="8"/>
      <c r="M19" s="8"/>
      <c r="N19" s="8"/>
      <c r="O19" s="8"/>
      <c r="P19" s="8"/>
      <c r="Q19" s="8"/>
      <c r="R19" s="8"/>
      <c r="S19" s="8"/>
      <c r="T19" s="8"/>
      <c r="U19" s="8"/>
      <c r="V19" s="8"/>
    </row>
    <row r="20" spans="1:22" x14ac:dyDescent="0.25">
      <c r="A20" s="13"/>
      <c r="B20" s="13"/>
      <c r="C20" s="13"/>
      <c r="D20" s="8"/>
      <c r="E20" s="8"/>
      <c r="F20" s="8"/>
      <c r="G20" s="8"/>
      <c r="H20" s="8"/>
      <c r="I20" s="8"/>
      <c r="J20" s="8"/>
      <c r="K20" s="8"/>
      <c r="L20" s="8"/>
      <c r="M20" s="8"/>
      <c r="N20" s="8"/>
      <c r="O20" s="8"/>
      <c r="P20" s="8"/>
      <c r="Q20" s="8"/>
      <c r="R20" s="8"/>
      <c r="S20" s="8"/>
      <c r="T20" s="8"/>
      <c r="U20" s="8"/>
      <c r="V20" s="8"/>
    </row>
    <row r="21" spans="1:22" x14ac:dyDescent="0.25">
      <c r="A21" s="13"/>
      <c r="B21" s="13"/>
      <c r="C21" s="13"/>
      <c r="D21" s="8"/>
      <c r="E21" s="8"/>
      <c r="F21" s="8"/>
      <c r="G21" s="8"/>
      <c r="H21" s="8"/>
      <c r="I21" s="8"/>
      <c r="J21" s="8"/>
      <c r="K21" s="8"/>
      <c r="L21" s="8"/>
      <c r="M21" s="8"/>
      <c r="N21" s="8"/>
      <c r="O21" s="8"/>
      <c r="P21" s="8"/>
      <c r="Q21" s="8"/>
      <c r="R21" s="8"/>
      <c r="S21" s="8"/>
      <c r="T21" s="8"/>
      <c r="U21" s="8"/>
      <c r="V21" s="8"/>
    </row>
    <row r="22" spans="1:22" x14ac:dyDescent="0.25">
      <c r="A22" s="13"/>
      <c r="B22" s="13"/>
      <c r="C22" s="13"/>
      <c r="D22" s="8"/>
      <c r="E22" s="8"/>
      <c r="F22" s="8"/>
      <c r="G22" s="8"/>
      <c r="H22" s="8"/>
      <c r="I22" s="8"/>
      <c r="J22" s="8"/>
      <c r="K22" s="8"/>
      <c r="L22" s="8"/>
      <c r="M22" s="8"/>
      <c r="N22" s="8"/>
      <c r="O22" s="8"/>
      <c r="P22" s="8"/>
      <c r="Q22" s="8"/>
      <c r="R22" s="8"/>
      <c r="S22" s="8"/>
      <c r="T22" s="8"/>
      <c r="U22" s="8"/>
      <c r="V22" s="8"/>
    </row>
    <row r="23" spans="1:22" x14ac:dyDescent="0.25">
      <c r="A23" s="13"/>
      <c r="B23" s="13"/>
      <c r="C23" s="13"/>
      <c r="D23" s="8"/>
      <c r="E23" s="8"/>
      <c r="F23" s="8"/>
      <c r="G23" s="8"/>
      <c r="H23" s="8"/>
      <c r="I23" s="8"/>
      <c r="J23" s="8"/>
      <c r="K23" s="8"/>
      <c r="L23" s="8"/>
      <c r="M23" s="8"/>
      <c r="N23" s="8"/>
      <c r="O23" s="8"/>
      <c r="P23" s="8"/>
      <c r="Q23" s="8"/>
      <c r="R23" s="8"/>
      <c r="S23" s="8"/>
      <c r="T23" s="8"/>
      <c r="U23" s="8"/>
      <c r="V23" s="8"/>
    </row>
    <row r="24" spans="1:22" x14ac:dyDescent="0.25">
      <c r="A24" s="13"/>
      <c r="B24" s="13"/>
      <c r="C24" s="13"/>
      <c r="D24" s="8"/>
      <c r="E24" s="8"/>
      <c r="F24" s="8"/>
      <c r="G24" s="8"/>
      <c r="H24" s="8"/>
      <c r="I24" s="8"/>
      <c r="J24" s="8"/>
      <c r="K24" s="8"/>
      <c r="L24" s="8"/>
      <c r="M24" s="8"/>
      <c r="N24" s="8"/>
      <c r="O24" s="8"/>
      <c r="P24" s="8"/>
      <c r="Q24" s="8"/>
      <c r="R24" s="8"/>
      <c r="S24" s="8"/>
      <c r="T24" s="8"/>
      <c r="U24" s="8"/>
      <c r="V24" s="8"/>
    </row>
    <row r="25" spans="1:22" x14ac:dyDescent="0.25">
      <c r="A25" s="13"/>
      <c r="B25" s="13"/>
      <c r="C25" s="13"/>
      <c r="D25" s="8"/>
      <c r="E25" s="8"/>
      <c r="F25" s="8"/>
      <c r="G25" s="8"/>
      <c r="H25" s="8"/>
      <c r="I25" s="8"/>
      <c r="J25" s="8"/>
      <c r="K25" s="8"/>
      <c r="L25" s="8"/>
      <c r="M25" s="8"/>
      <c r="N25" s="8"/>
      <c r="O25" s="8"/>
      <c r="P25" s="8"/>
      <c r="Q25" s="8"/>
      <c r="R25" s="8"/>
      <c r="S25" s="8"/>
      <c r="T25" s="8"/>
      <c r="U25" s="8"/>
      <c r="V25" s="8"/>
    </row>
    <row r="26" spans="1:22" x14ac:dyDescent="0.25">
      <c r="A26" s="13"/>
      <c r="B26" s="13"/>
      <c r="C26" s="13"/>
      <c r="D26" s="8"/>
      <c r="E26" s="8"/>
      <c r="F26" s="8"/>
      <c r="G26" s="8"/>
      <c r="H26" s="8"/>
      <c r="I26" s="8"/>
      <c r="J26" s="8"/>
      <c r="K26" s="8"/>
      <c r="L26" s="8"/>
      <c r="M26" s="8"/>
      <c r="N26" s="8"/>
      <c r="O26" s="8"/>
      <c r="P26" s="8"/>
      <c r="Q26" s="8"/>
      <c r="R26" s="8"/>
      <c r="S26" s="8"/>
      <c r="T26" s="8"/>
      <c r="U26" s="8"/>
      <c r="V26" s="8"/>
    </row>
    <row r="27" spans="1:22" x14ac:dyDescent="0.25">
      <c r="A27" s="13"/>
      <c r="B27" s="13"/>
      <c r="C27" s="13"/>
      <c r="D27" s="8"/>
      <c r="E27" s="8"/>
      <c r="F27" s="8"/>
      <c r="G27" s="8"/>
      <c r="H27" s="8"/>
      <c r="I27" s="8"/>
      <c r="J27" s="8"/>
      <c r="K27" s="8"/>
      <c r="L27" s="8"/>
      <c r="M27" s="8"/>
      <c r="N27" s="8"/>
      <c r="O27" s="8"/>
      <c r="P27" s="8"/>
      <c r="Q27" s="8"/>
      <c r="R27" s="8"/>
      <c r="S27" s="8"/>
      <c r="T27" s="8"/>
      <c r="U27" s="8"/>
      <c r="V27" s="8"/>
    </row>
    <row r="28" spans="1:22" x14ac:dyDescent="0.25">
      <c r="A28" s="13"/>
      <c r="B28" s="13"/>
      <c r="C28" s="13"/>
      <c r="D28" s="8"/>
      <c r="E28" s="8"/>
      <c r="F28" s="8"/>
      <c r="G28" s="8"/>
      <c r="H28" s="8"/>
      <c r="I28" s="8"/>
      <c r="J28" s="8"/>
      <c r="K28" s="8"/>
      <c r="L28" s="8"/>
      <c r="M28" s="8"/>
      <c r="N28" s="8"/>
      <c r="O28" s="8"/>
      <c r="P28" s="8"/>
      <c r="Q28" s="8"/>
      <c r="R28" s="8"/>
      <c r="S28" s="8"/>
      <c r="T28" s="8"/>
      <c r="U28" s="8"/>
      <c r="V28" s="8"/>
    </row>
    <row r="29" spans="1:22" x14ac:dyDescent="0.25">
      <c r="A29" s="13"/>
      <c r="B29" s="13"/>
      <c r="C29" s="13"/>
      <c r="D29" s="8"/>
      <c r="E29" s="8"/>
      <c r="F29" s="8"/>
      <c r="G29" s="8"/>
      <c r="H29" s="8"/>
      <c r="I29" s="8"/>
      <c r="J29" s="8"/>
      <c r="K29" s="8"/>
      <c r="L29" s="8"/>
      <c r="M29" s="8"/>
      <c r="N29" s="8"/>
      <c r="O29" s="8"/>
      <c r="P29" s="8"/>
      <c r="Q29" s="8"/>
      <c r="R29" s="8"/>
      <c r="S29" s="8"/>
      <c r="T29" s="8"/>
      <c r="U29" s="8"/>
      <c r="V29" s="8"/>
    </row>
    <row r="30" spans="1:22" x14ac:dyDescent="0.25">
      <c r="A30" s="13"/>
      <c r="B30" s="13"/>
      <c r="C30" s="13"/>
      <c r="D30" s="8"/>
      <c r="E30" s="8"/>
      <c r="F30" s="8"/>
      <c r="G30" s="8"/>
      <c r="H30" s="8"/>
      <c r="I30" s="8"/>
      <c r="J30" s="8"/>
      <c r="K30" s="8"/>
      <c r="L30" s="8"/>
      <c r="M30" s="8"/>
      <c r="N30" s="8"/>
      <c r="O30" s="8"/>
      <c r="P30" s="8"/>
      <c r="Q30" s="8"/>
      <c r="R30" s="8"/>
      <c r="S30" s="8"/>
      <c r="T30" s="8"/>
      <c r="U30" s="8"/>
      <c r="V30" s="8"/>
    </row>
    <row r="31" spans="1:22" x14ac:dyDescent="0.25">
      <c r="A31" s="13"/>
      <c r="B31" s="13"/>
      <c r="C31" s="13"/>
      <c r="D31" s="8"/>
      <c r="E31" s="8"/>
      <c r="F31" s="8"/>
      <c r="G31" s="8"/>
      <c r="H31" s="8"/>
      <c r="I31" s="8"/>
      <c r="J31" s="8"/>
      <c r="K31" s="8"/>
      <c r="L31" s="8"/>
      <c r="M31" s="8"/>
      <c r="N31" s="8"/>
      <c r="O31" s="8"/>
      <c r="P31" s="8"/>
      <c r="Q31" s="8"/>
      <c r="R31" s="8"/>
      <c r="S31" s="8"/>
      <c r="T31" s="8"/>
      <c r="U31" s="8"/>
      <c r="V31" s="8"/>
    </row>
    <row r="32" spans="1:22" x14ac:dyDescent="0.25">
      <c r="A32" s="13"/>
      <c r="B32" s="13"/>
      <c r="C32" s="13"/>
      <c r="D32" s="8"/>
      <c r="E32" s="8"/>
      <c r="F32" s="8"/>
      <c r="G32" s="8"/>
      <c r="H32" s="8"/>
      <c r="I32" s="8"/>
      <c r="J32" s="8"/>
      <c r="K32" s="8"/>
      <c r="L32" s="8"/>
      <c r="M32" s="8"/>
      <c r="N32" s="8"/>
      <c r="O32" s="8"/>
      <c r="P32" s="8"/>
      <c r="Q32" s="8"/>
      <c r="R32" s="8"/>
      <c r="S32" s="8"/>
      <c r="T32" s="8"/>
      <c r="U32" s="8"/>
      <c r="V32" s="8"/>
    </row>
    <row r="33" spans="1:22" x14ac:dyDescent="0.25">
      <c r="A33" s="13"/>
      <c r="B33" s="13"/>
      <c r="C33" s="13"/>
      <c r="D33" s="8"/>
      <c r="E33" s="8"/>
      <c r="F33" s="8"/>
      <c r="G33" s="8"/>
      <c r="H33" s="8"/>
      <c r="I33" s="8"/>
      <c r="J33" s="8"/>
      <c r="K33" s="8"/>
      <c r="L33" s="8"/>
      <c r="M33" s="8"/>
      <c r="N33" s="8"/>
      <c r="O33" s="8"/>
      <c r="P33" s="8"/>
      <c r="Q33" s="8"/>
      <c r="R33" s="8"/>
      <c r="S33" s="8"/>
      <c r="T33" s="8"/>
      <c r="U33" s="8"/>
      <c r="V33" s="8"/>
    </row>
    <row r="34" spans="1:22" x14ac:dyDescent="0.25">
      <c r="A34" s="13"/>
      <c r="B34" s="13"/>
      <c r="C34" s="13"/>
      <c r="D34" s="8"/>
      <c r="E34" s="8"/>
      <c r="F34" s="8"/>
      <c r="G34" s="8"/>
      <c r="H34" s="8"/>
      <c r="I34" s="8"/>
      <c r="J34" s="8"/>
      <c r="K34" s="8"/>
      <c r="L34" s="8"/>
      <c r="M34" s="8"/>
      <c r="N34" s="8"/>
      <c r="O34" s="8"/>
      <c r="P34" s="8"/>
      <c r="Q34" s="8"/>
      <c r="R34" s="8"/>
      <c r="S34" s="8"/>
      <c r="T34" s="8"/>
      <c r="U34" s="8"/>
      <c r="V34" s="8"/>
    </row>
    <row r="35" spans="1:22" x14ac:dyDescent="0.25">
      <c r="A35" s="13"/>
      <c r="B35" s="13"/>
      <c r="C35" s="13"/>
      <c r="D35" s="8"/>
      <c r="E35" s="8"/>
      <c r="F35" s="8"/>
      <c r="G35" s="8"/>
      <c r="H35" s="8"/>
      <c r="I35" s="8"/>
      <c r="J35" s="8"/>
      <c r="K35" s="8"/>
      <c r="L35" s="8"/>
      <c r="M35" s="8"/>
      <c r="N35" s="8"/>
      <c r="O35" s="8"/>
      <c r="P35" s="8"/>
      <c r="Q35" s="8"/>
      <c r="R35" s="8"/>
      <c r="S35" s="8"/>
      <c r="T35" s="8"/>
      <c r="U35" s="8"/>
      <c r="V35" s="8"/>
    </row>
    <row r="36" spans="1:22" x14ac:dyDescent="0.25">
      <c r="A36" s="13"/>
      <c r="B36" s="13"/>
      <c r="C36" s="13"/>
      <c r="D36" s="8"/>
      <c r="E36" s="8"/>
      <c r="F36" s="8"/>
      <c r="G36" s="8"/>
      <c r="H36" s="8"/>
      <c r="I36" s="8"/>
      <c r="J36" s="8"/>
      <c r="K36" s="8"/>
      <c r="L36" s="8"/>
      <c r="M36" s="8"/>
      <c r="N36" s="8"/>
      <c r="O36" s="8"/>
      <c r="P36" s="8"/>
      <c r="Q36" s="8"/>
      <c r="R36" s="8"/>
      <c r="S36" s="8"/>
      <c r="T36" s="8"/>
      <c r="U36" s="8"/>
      <c r="V36" s="8"/>
    </row>
    <row r="37" spans="1:22" x14ac:dyDescent="0.25">
      <c r="A37" s="13"/>
      <c r="B37" s="13"/>
      <c r="C37" s="13"/>
      <c r="D37" s="8"/>
      <c r="E37" s="8"/>
      <c r="F37" s="8"/>
      <c r="G37" s="8"/>
      <c r="H37" s="8"/>
      <c r="I37" s="8"/>
      <c r="J37" s="8"/>
      <c r="K37" s="8"/>
      <c r="L37" s="8"/>
      <c r="M37" s="8"/>
      <c r="N37" s="8"/>
      <c r="O37" s="8"/>
      <c r="P37" s="8"/>
      <c r="Q37" s="8"/>
      <c r="R37" s="8"/>
      <c r="S37" s="8"/>
      <c r="T37" s="8"/>
      <c r="U37" s="8"/>
      <c r="V37" s="8"/>
    </row>
    <row r="38" spans="1:22" x14ac:dyDescent="0.25">
      <c r="A38" s="13"/>
      <c r="B38" s="13"/>
      <c r="C38" s="13"/>
      <c r="D38" s="8"/>
      <c r="E38" s="8"/>
      <c r="F38" s="8"/>
      <c r="G38" s="8"/>
      <c r="H38" s="8"/>
      <c r="I38" s="8"/>
      <c r="J38" s="8"/>
      <c r="K38" s="8"/>
      <c r="L38" s="8"/>
      <c r="M38" s="8"/>
      <c r="N38" s="8"/>
      <c r="O38" s="8"/>
      <c r="P38" s="8"/>
      <c r="Q38" s="8"/>
      <c r="R38" s="8"/>
      <c r="S38" s="8"/>
      <c r="T38" s="8"/>
      <c r="U38" s="8"/>
      <c r="V38" s="8"/>
    </row>
    <row r="39" spans="1:22" x14ac:dyDescent="0.25">
      <c r="A39" s="13"/>
      <c r="B39" s="13"/>
      <c r="C39" s="13"/>
      <c r="D39" s="8"/>
      <c r="E39" s="8"/>
      <c r="F39" s="8"/>
      <c r="G39" s="8"/>
      <c r="H39" s="8"/>
      <c r="I39" s="8"/>
      <c r="J39" s="8"/>
      <c r="K39" s="8"/>
      <c r="L39" s="8"/>
      <c r="M39" s="8"/>
      <c r="N39" s="8"/>
      <c r="O39" s="8"/>
      <c r="P39" s="8"/>
      <c r="Q39" s="8"/>
      <c r="R39" s="8"/>
      <c r="S39" s="8"/>
      <c r="T39" s="8"/>
      <c r="U39" s="8"/>
      <c r="V39" s="8"/>
    </row>
    <row r="40" spans="1:22" x14ac:dyDescent="0.25">
      <c r="A40" s="13"/>
      <c r="B40" s="13"/>
      <c r="C40" s="13"/>
      <c r="D40" s="8"/>
      <c r="E40" s="8"/>
      <c r="F40" s="8"/>
      <c r="G40" s="8"/>
      <c r="H40" s="8"/>
      <c r="I40" s="8"/>
      <c r="J40" s="8"/>
      <c r="K40" s="8"/>
      <c r="L40" s="8"/>
      <c r="M40" s="8"/>
      <c r="N40" s="8"/>
      <c r="O40" s="8"/>
      <c r="P40" s="8"/>
      <c r="Q40" s="8"/>
      <c r="R40" s="8"/>
      <c r="S40" s="8"/>
      <c r="T40" s="8"/>
      <c r="U40" s="8"/>
      <c r="V40" s="8"/>
    </row>
    <row r="41" spans="1:22" x14ac:dyDescent="0.25">
      <c r="A41" s="13"/>
      <c r="B41" s="13"/>
      <c r="C41" s="13"/>
      <c r="D41" s="8"/>
      <c r="E41" s="8"/>
      <c r="F41" s="8"/>
      <c r="G41" s="8"/>
      <c r="H41" s="8"/>
      <c r="I41" s="8"/>
      <c r="J41" s="8"/>
      <c r="K41" s="8"/>
      <c r="L41" s="8"/>
      <c r="M41" s="8"/>
      <c r="N41" s="8"/>
      <c r="O41" s="8"/>
      <c r="P41" s="8"/>
      <c r="Q41" s="8"/>
      <c r="R41" s="8"/>
      <c r="S41" s="8"/>
      <c r="T41" s="8"/>
      <c r="U41" s="8"/>
      <c r="V41" s="8"/>
    </row>
    <row r="42" spans="1:22" x14ac:dyDescent="0.25">
      <c r="A42" s="13"/>
      <c r="B42" s="13"/>
      <c r="C42" s="13"/>
      <c r="D42" s="8"/>
      <c r="E42" s="8"/>
      <c r="F42" s="8"/>
      <c r="G42" s="8"/>
      <c r="H42" s="8"/>
      <c r="I42" s="8"/>
      <c r="J42" s="8"/>
      <c r="K42" s="8"/>
      <c r="L42" s="8"/>
      <c r="M42" s="8"/>
      <c r="N42" s="8"/>
      <c r="O42" s="8"/>
      <c r="P42" s="8"/>
      <c r="Q42" s="8"/>
      <c r="R42" s="8"/>
      <c r="S42" s="8"/>
      <c r="T42" s="8"/>
      <c r="U42" s="8"/>
      <c r="V42" s="8"/>
    </row>
    <row r="43" spans="1:22" x14ac:dyDescent="0.25">
      <c r="A43" s="13"/>
      <c r="B43" s="13"/>
      <c r="C43" s="13"/>
      <c r="D43" s="8"/>
      <c r="E43" s="8"/>
      <c r="F43" s="8"/>
      <c r="G43" s="8"/>
      <c r="H43" s="8"/>
      <c r="I43" s="8"/>
      <c r="J43" s="8"/>
      <c r="K43" s="8"/>
      <c r="L43" s="8"/>
      <c r="M43" s="8"/>
      <c r="N43" s="8"/>
      <c r="O43" s="8"/>
      <c r="P43" s="8"/>
      <c r="Q43" s="8"/>
      <c r="R43" s="8"/>
      <c r="S43" s="8"/>
      <c r="T43" s="8"/>
      <c r="U43" s="8"/>
      <c r="V43" s="8"/>
    </row>
    <row r="44" spans="1:22" x14ac:dyDescent="0.25">
      <c r="A44" s="13"/>
      <c r="B44" s="13"/>
      <c r="C44" s="13"/>
      <c r="D44" s="8"/>
      <c r="E44" s="8"/>
      <c r="F44" s="8"/>
      <c r="G44" s="8"/>
      <c r="H44" s="8"/>
      <c r="I44" s="8"/>
      <c r="J44" s="8"/>
      <c r="K44" s="8"/>
      <c r="L44" s="8"/>
      <c r="M44" s="8"/>
      <c r="N44" s="8"/>
      <c r="O44" s="8"/>
      <c r="P44" s="8"/>
      <c r="Q44" s="8"/>
      <c r="R44" s="8"/>
      <c r="S44" s="8"/>
      <c r="T44" s="8"/>
      <c r="U44" s="8"/>
      <c r="V44" s="8"/>
    </row>
    <row r="45" spans="1:22" x14ac:dyDescent="0.25">
      <c r="A45" s="13"/>
      <c r="B45" s="13"/>
      <c r="C45" s="13"/>
      <c r="D45" s="8"/>
      <c r="E45" s="8"/>
      <c r="F45" s="8"/>
      <c r="G45" s="8"/>
      <c r="H45" s="8"/>
      <c r="I45" s="8"/>
      <c r="J45" s="8"/>
      <c r="K45" s="8"/>
      <c r="L45" s="8"/>
      <c r="M45" s="8"/>
      <c r="N45" s="8"/>
      <c r="O45" s="8"/>
      <c r="P45" s="8"/>
      <c r="Q45" s="8"/>
      <c r="R45" s="8"/>
      <c r="S45" s="8"/>
      <c r="T45" s="8"/>
      <c r="U45" s="8"/>
      <c r="V45" s="8"/>
    </row>
    <row r="46" spans="1:22" x14ac:dyDescent="0.25">
      <c r="A46" s="13"/>
      <c r="B46" s="13"/>
      <c r="C46" s="13"/>
      <c r="D46" s="8"/>
      <c r="E46" s="8"/>
      <c r="F46" s="8"/>
      <c r="G46" s="8"/>
      <c r="H46" s="8"/>
      <c r="I46" s="8"/>
      <c r="J46" s="8"/>
      <c r="K46" s="8"/>
      <c r="L46" s="8"/>
      <c r="M46" s="8"/>
      <c r="N46" s="8"/>
      <c r="O46" s="8"/>
      <c r="P46" s="8"/>
      <c r="Q46" s="8"/>
      <c r="R46" s="8"/>
      <c r="S46" s="8"/>
      <c r="T46" s="8"/>
      <c r="U46" s="8"/>
      <c r="V46" s="8"/>
    </row>
    <row r="47" spans="1:22" x14ac:dyDescent="0.25">
      <c r="A47" s="13"/>
      <c r="B47" s="13"/>
      <c r="C47" s="13"/>
      <c r="D47" s="8"/>
      <c r="E47" s="8"/>
      <c r="F47" s="8"/>
      <c r="G47" s="8"/>
      <c r="H47" s="8"/>
      <c r="I47" s="8"/>
      <c r="J47" s="8"/>
      <c r="K47" s="8"/>
      <c r="L47" s="8"/>
      <c r="M47" s="8"/>
      <c r="N47" s="8"/>
      <c r="O47" s="8"/>
      <c r="P47" s="8"/>
      <c r="Q47" s="8"/>
      <c r="R47" s="8"/>
      <c r="S47" s="8"/>
      <c r="T47" s="8"/>
      <c r="U47" s="8"/>
      <c r="V47" s="8"/>
    </row>
    <row r="48" spans="1:22" x14ac:dyDescent="0.25">
      <c r="A48" s="13"/>
      <c r="B48" s="13"/>
      <c r="C48" s="13"/>
      <c r="D48" s="8"/>
      <c r="E48" s="8"/>
      <c r="F48" s="8"/>
      <c r="G48" s="8"/>
      <c r="H48" s="8"/>
      <c r="I48" s="8"/>
      <c r="J48" s="8"/>
      <c r="K48" s="8"/>
      <c r="L48" s="8"/>
      <c r="M48" s="8"/>
      <c r="N48" s="8"/>
      <c r="O48" s="8"/>
      <c r="P48" s="8"/>
      <c r="Q48" s="8"/>
      <c r="R48" s="8"/>
      <c r="S48" s="8"/>
      <c r="T48" s="8"/>
      <c r="U48" s="8"/>
      <c r="V48" s="8"/>
    </row>
    <row r="49" spans="1:22" x14ac:dyDescent="0.25">
      <c r="A49" s="13"/>
      <c r="B49" s="13"/>
      <c r="C49" s="13"/>
      <c r="D49" s="8"/>
      <c r="E49" s="8"/>
      <c r="F49" s="8"/>
      <c r="G49" s="8"/>
      <c r="H49" s="8"/>
      <c r="I49" s="8"/>
      <c r="J49" s="8"/>
      <c r="K49" s="8"/>
      <c r="L49" s="8"/>
      <c r="M49" s="8"/>
      <c r="N49" s="8"/>
      <c r="O49" s="8"/>
      <c r="P49" s="8"/>
      <c r="Q49" s="8"/>
      <c r="R49" s="8"/>
      <c r="S49" s="8"/>
      <c r="T49" s="8"/>
      <c r="U49" s="8"/>
      <c r="V49" s="8"/>
    </row>
    <row r="50" spans="1:22" x14ac:dyDescent="0.25">
      <c r="A50" s="13"/>
      <c r="B50" s="13"/>
      <c r="C50" s="13"/>
      <c r="D50" s="8"/>
      <c r="E50" s="8"/>
      <c r="F50" s="8"/>
      <c r="G50" s="8"/>
      <c r="H50" s="8"/>
      <c r="I50" s="8"/>
      <c r="J50" s="8"/>
      <c r="K50" s="8"/>
      <c r="L50" s="8"/>
      <c r="M50" s="8"/>
      <c r="N50" s="8"/>
      <c r="O50" s="8"/>
      <c r="P50" s="8"/>
      <c r="Q50" s="8"/>
      <c r="R50" s="8"/>
      <c r="S50" s="8"/>
      <c r="T50" s="8"/>
      <c r="U50" s="8"/>
      <c r="V50" s="8"/>
    </row>
    <row r="51" spans="1:22" x14ac:dyDescent="0.25">
      <c r="A51" s="13"/>
      <c r="B51" s="13"/>
      <c r="C51" s="13"/>
      <c r="D51" s="8"/>
      <c r="E51" s="8"/>
      <c r="F51" s="8"/>
      <c r="G51" s="8"/>
      <c r="H51" s="8"/>
      <c r="I51" s="8"/>
      <c r="J51" s="8"/>
      <c r="K51" s="8"/>
      <c r="L51" s="8"/>
      <c r="M51" s="8"/>
      <c r="N51" s="8"/>
      <c r="O51" s="8"/>
      <c r="P51" s="8"/>
      <c r="Q51" s="8"/>
      <c r="R51" s="8"/>
      <c r="S51" s="8"/>
      <c r="T51" s="8"/>
      <c r="U51" s="8"/>
      <c r="V51" s="8"/>
    </row>
    <row r="52" spans="1:22" x14ac:dyDescent="0.25">
      <c r="A52" s="13"/>
      <c r="B52" s="13"/>
      <c r="C52" s="13"/>
      <c r="D52" s="8"/>
      <c r="E52" s="8"/>
      <c r="F52" s="8"/>
      <c r="G52" s="8"/>
      <c r="H52" s="8"/>
      <c r="I52" s="8"/>
      <c r="J52" s="8"/>
      <c r="K52" s="8"/>
      <c r="L52" s="8"/>
      <c r="M52" s="8"/>
      <c r="N52" s="8"/>
      <c r="O52" s="8"/>
      <c r="P52" s="8"/>
      <c r="Q52" s="8"/>
      <c r="R52" s="8"/>
      <c r="S52" s="8"/>
      <c r="T52" s="8"/>
      <c r="U52" s="8"/>
      <c r="V52" s="8"/>
    </row>
    <row r="53" spans="1:22" x14ac:dyDescent="0.25">
      <c r="A53" s="13"/>
      <c r="B53" s="13"/>
      <c r="C53" s="13"/>
      <c r="D53" s="8"/>
      <c r="E53" s="8"/>
      <c r="F53" s="8"/>
      <c r="G53" s="8"/>
      <c r="H53" s="8"/>
      <c r="I53" s="8"/>
      <c r="J53" s="8"/>
      <c r="K53" s="8"/>
      <c r="L53" s="8"/>
      <c r="M53" s="8"/>
      <c r="N53" s="8"/>
      <c r="O53" s="8"/>
      <c r="P53" s="8"/>
      <c r="Q53" s="8"/>
      <c r="R53" s="8"/>
      <c r="S53" s="8"/>
      <c r="T53" s="8"/>
      <c r="U53" s="8"/>
      <c r="V53"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12BB3-9F7D-4A58-B440-A6DFC927F73E}">
  <dimension ref="A1:C1"/>
  <sheetViews>
    <sheetView zoomScale="70" zoomScaleNormal="70" workbookViewId="0"/>
  </sheetViews>
  <sheetFormatPr defaultRowHeight="15" x14ac:dyDescent="0.25"/>
  <cols>
    <col min="4" max="16384" width="9.140625" style="9"/>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D61B0-7CE6-4424-B307-1DCCAEDAFD99}">
  <dimension ref="A1:C1"/>
  <sheetViews>
    <sheetView zoomScale="70" zoomScaleNormal="70" workbookViewId="0">
      <selection activeCell="AA22" sqref="AA22"/>
    </sheetView>
  </sheetViews>
  <sheetFormatPr defaultRowHeight="15" x14ac:dyDescent="0.25"/>
  <cols>
    <col min="4" max="16384" width="9.140625" style="9"/>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QUESTION</vt:lpstr>
      <vt:lpstr>KPI&amp;PIVOT</vt:lpstr>
      <vt:lpstr>About Data</vt:lpstr>
      <vt:lpstr>DASHBOARD</vt:lpstr>
      <vt:lpstr>KPI Summary</vt:lpstr>
      <vt:lpstr>Contact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MRaf</dc:creator>
  <cp:lastModifiedBy>MRaf</cp:lastModifiedBy>
  <dcterms:created xsi:type="dcterms:W3CDTF">2025-10-09T01:45:12Z</dcterms:created>
  <dcterms:modified xsi:type="dcterms:W3CDTF">2026-03-20T07:26:47Z</dcterms:modified>
</cp:coreProperties>
</file>